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istricts" sheetId="2" state="visible" r:id="rId2"/>
    <sheet xmlns:r="http://schemas.openxmlformats.org/officeDocument/2006/relationships" name="Candidates" sheetId="3" state="visible" r:id="rId3"/>
    <sheet xmlns:r="http://schemas.openxmlformats.org/officeDocument/2006/relationships" name="Race Analysis" sheetId="4" state="visible" r:id="rId4"/>
    <sheet xmlns:r="http://schemas.openxmlformats.org/officeDocument/2006/relationships" name="Research Queue" sheetId="5" state="visible" r:id="rId5"/>
    <sheet xmlns:r="http://schemas.openxmlformats.org/officeDocument/2006/relationships" name="Sync Log" sheetId="6" state="visible" r:id="rId6"/>
    <sheet xmlns:r="http://schemas.openxmlformats.org/officeDocument/2006/relationships" name="Instru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12">
    <font>
      <name val="Calibri"/>
      <family val="2"/>
      <color theme="1"/>
      <sz val="11"/>
      <scheme val="minor"/>
    </font>
    <font>
      <b val="1"/>
      <color rgb="002563EB"/>
      <sz val="20"/>
    </font>
    <font>
      <b val="1"/>
      <color rgb="001F4E79"/>
      <sz val="14"/>
    </font>
    <font>
      <b val="1"/>
    </font>
    <font>
      <b val="1"/>
      <sz val="12"/>
    </font>
    <font>
      <i val="1"/>
      <color rgb="FF666666"/>
      <sz val="9"/>
    </font>
    <font>
      <b val="1"/>
      <color rgb="001F4E79"/>
      <sz val="12"/>
    </font>
    <font>
      <sz val="10"/>
    </font>
    <font>
      <b val="1"/>
      <color rgb="FFFFFFFF"/>
      <sz val="11"/>
    </font>
    <font>
      <b val="1"/>
      <color rgb="FF000000"/>
      <sz val="11"/>
    </font>
    <font>
      <b val="1"/>
      <color rgb="001F4E79"/>
      <sz val="18"/>
    </font>
    <font>
      <sz val="11"/>
    </font>
  </fonts>
  <fills count="11">
    <fill>
      <patternFill/>
    </fill>
    <fill>
      <patternFill patternType="gray125"/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FEDD5"/>
      </patternFill>
    </fill>
    <fill>
      <patternFill patternType="solid">
        <fgColor rgb="FFFEE2E2"/>
      </patternFill>
    </fill>
    <fill>
      <patternFill patternType="solid">
        <fgColor rgb="FFDBEAFE"/>
      </patternFill>
    </fill>
    <fill>
      <patternFill patternType="solid">
        <fgColor rgb="FF1F4E79"/>
      </patternFill>
    </fill>
    <fill>
      <patternFill patternType="solid">
        <fgColor rgb="FFF8F9FA"/>
      </patternFill>
    </fill>
    <fill>
      <patternFill patternType="solid">
        <fgColor rgb="FFFFFACD"/>
      </patternFill>
    </fill>
    <fill>
      <patternFill patternType="solid">
        <fgColor rgb="FFE8F4EA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000000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horizontal="right"/>
    </xf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7" borderId="1" applyAlignment="1" pivotButton="0" quotePrefix="0" xfId="0">
      <alignment horizontal="center" vertical="center" wrapText="1"/>
    </xf>
    <xf numFmtId="0" fontId="0" fillId="8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9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0" fillId="9" borderId="2" applyAlignment="1" pivotButton="0" quotePrefix="0" xfId="0">
      <alignment vertical="center"/>
    </xf>
    <xf numFmtId="0" fontId="0" fillId="10" borderId="2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4">
    <dxf>
      <fill>
        <patternFill patternType="solid">
          <fgColor rgb="FFFEE2E2"/>
        </patternFill>
      </fill>
    </dxf>
    <dxf>
      <fill>
        <patternFill patternType="solid">
          <fgColor rgb="FFDBEAFE"/>
        </patternFill>
      </fill>
    </dxf>
    <dxf>
      <font>
        <b val="1"/>
        <color rgb="002E5DAC"/>
      </font>
      <fill>
        <patternFill patternType="solid">
          <fgColor rgb="FFDBEAFE"/>
        </patternFill>
      </fill>
    </dxf>
    <dxf>
      <font>
        <b val="1"/>
        <color rgb="00E91D0E"/>
      </font>
      <fill>
        <patternFill patternType="solid">
          <fgColor rgb="FFFEE2E2"/>
        </patternFill>
      </fill>
    </dxf>
    <dxf>
      <fill>
        <patternFill patternType="solid">
          <fgColor rgb="FFF3F4F6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FFEDD5"/>
        </patternFill>
      </fill>
    </dxf>
    <dxf>
      <font>
        <b val="1"/>
      </font>
      <fill>
        <patternFill patternType="solid">
          <fgColor rgb="FFE9D5FF"/>
        </patternFill>
      </fill>
    </dxf>
    <dxf>
      <font>
        <b val="1"/>
      </font>
      <fill>
        <patternFill patternType="solid">
          <fgColor rgb="FFFEE2E2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FF2CC"/>
        </patternFill>
      </fill>
    </dxf>
    <dxf>
      <font>
        <b val="1"/>
      </font>
      <fill>
        <patternFill patternType="solid">
          <fgColor rgb="FFFEF3C7"/>
        </patternFill>
      </fill>
    </dxf>
    <dxf>
      <fill>
        <patternFill patternType="solid">
          <fgColor rgb="FFBDD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System</author>
  </authors>
  <commentList>
    <comment ref="A1" authorId="0" shapeId="0">
      <text>
        <t>Format: SC-House-XXX or SC-Senate-XXX
Matches Claude Code config.py</t>
      </text>
    </comment>
    <comment ref="F1" authorId="0" shapeId="0">
      <text>
        <t>D = Democrat, R = Republican
Color-coded automatically</t>
      </text>
    </comment>
    <comment ref="I1" authorId="0" shapeId="0">
      <text>
        <t>Yes = seat is up for election in 2026
Senate has staggered terms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A1" authorId="0" shapeId="0">
      <text>
        <t>Unique ID from SC Ethics Commission filing</t>
      </text>
    </comment>
    <comment ref="C1" authorId="0" shapeId="0">
      <text>
        <t>Format: SC-House-XXX or SC-Senate-XXX</t>
      </text>
    </comment>
    <comment ref="G1" authorId="0" shapeId="0">
      <text>
        <t>Auto-detected party: D/R/I/O</t>
      </text>
    </comment>
    <comment ref="H1" authorId="0" shapeId="0">
      <text>
        <t>Detection confidence: HIGH/MEDIUM/LOW/UNKNOWN</t>
      </text>
    </comment>
    <comment ref="K1" authorId="0" shapeId="0">
      <text>
        <t>✏️ MANUAL ENTRY
Preserved during sync.
Edit freely - your changes will not be overwritten.</t>
      </text>
    </comment>
    <comment ref="L1" authorId="0" shapeId="0">
      <text>
        <t>📊 FORMULA COLUMN
=IF(K&lt;&gt;"",K,G)
Shows manual override if set, otherwise detected party.</t>
      </text>
    </comment>
    <comment ref="M1" authorId="0" shapeId="0">
      <text>
        <t>✏️ MANUAL ENTRY
Preserved during sync.
Edit freely - your changes will not be overwritten.</t>
      </text>
    </comment>
    <comment ref="O1" authorId="0" shapeId="0">
      <text>
        <t>✏️ MANUAL ENTRY
Preserved during sync.
Edit freely - your changes will not be overwritten.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5" customWidth="1" min="3" max="3"/>
    <col width="3" customWidth="1" min="4" max="4"/>
    <col width="15" customWidth="1" min="5" max="5"/>
    <col width="12" customWidth="1" min="6" max="6"/>
    <col width="12" customWidth="1" min="7" max="7"/>
  </cols>
  <sheetData>
    <row r="1">
      <c r="A1" s="1" t="inlineStr">
        <is>
          <t>SC ETHICS MONITOR - ELECTION DASHBOARD 2026</t>
        </is>
      </c>
    </row>
    <row r="2">
      <c r="A2" t="inlineStr">
        <is>
          <t>Last Updated:</t>
        </is>
      </c>
    </row>
    <row r="4">
      <c r="A4" s="2" t="inlineStr">
        <is>
          <t>KEY METRICS</t>
        </is>
      </c>
      <c r="E4" s="2" t="inlineStr">
        <is>
          <t>CONFIDENCE DISTRIBUTION</t>
        </is>
      </c>
    </row>
    <row r="5">
      <c r="A5" s="3" t="inlineStr">
        <is>
          <t>Total Districts</t>
        </is>
      </c>
      <c r="B5" s="4">
        <f>COUNTA(Districts!A:A)-1</f>
        <v/>
      </c>
      <c r="C5" s="5" t="inlineStr">
        <is>
          <t>All SC Legislative Districts</t>
        </is>
      </c>
      <c r="E5" s="6" t="inlineStr">
        <is>
          <t>HIGH</t>
        </is>
      </c>
      <c r="F5" s="7">
        <f>COUNTIF(Candidates!H:H,"HIGH")</f>
        <v/>
      </c>
    </row>
    <row r="6">
      <c r="A6" s="3" t="inlineStr">
        <is>
          <t>House Districts</t>
        </is>
      </c>
      <c r="B6" s="4">
        <f>COUNTIF(Districts!C:C,"House")</f>
        <v/>
      </c>
      <c r="C6" s="5" t="inlineStr">
        <is>
          <t>SC House seats (124 total)</t>
        </is>
      </c>
      <c r="E6" s="8" t="inlineStr">
        <is>
          <t>MEDIUM</t>
        </is>
      </c>
      <c r="F6" s="7">
        <f>COUNTIF(Candidates!H:H,"MEDIUM")</f>
        <v/>
      </c>
    </row>
    <row r="7">
      <c r="A7" s="3" t="inlineStr">
        <is>
          <t>Senate Districts</t>
        </is>
      </c>
      <c r="B7" s="4">
        <f>COUNTIF(Districts!C:C,"Senate")</f>
        <v/>
      </c>
      <c r="C7" s="5" t="inlineStr">
        <is>
          <t>SC Senate seats (46 total)</t>
        </is>
      </c>
      <c r="E7" s="9" t="inlineStr">
        <is>
          <t>LOW</t>
        </is>
      </c>
      <c r="F7" s="7">
        <f>COUNTIF(Candidates!H:H,"LOW")</f>
        <v/>
      </c>
    </row>
    <row r="8">
      <c r="E8" s="10" t="inlineStr">
        <is>
          <t>UNKNOWN</t>
        </is>
      </c>
      <c r="F8" s="7">
        <f>COUNTIF(Candidates!H:H,"UNKNOWN")</f>
        <v/>
      </c>
    </row>
    <row r="9">
      <c r="A9" s="3" t="inlineStr">
        <is>
          <t>Total Candidates Filed</t>
        </is>
      </c>
      <c r="B9" s="4">
        <f>COUNTA(Candidates!A:A)-1</f>
        <v/>
      </c>
      <c r="C9" s="5" t="inlineStr">
        <is>
          <t>From SC Ethics Commission</t>
        </is>
      </c>
    </row>
    <row r="10">
      <c r="A10" s="3" t="inlineStr">
        <is>
          <t>Democrat Candidates</t>
        </is>
      </c>
      <c r="B10" s="4">
        <f>COUNTIF(Candidates!L:L,"D")</f>
        <v/>
      </c>
      <c r="C10" s="5" t="inlineStr">
        <is>
          <t>Final party = D</t>
        </is>
      </c>
      <c r="E10" s="2" t="inlineStr">
        <is>
          <t>PARTY BY CHAMBER</t>
        </is>
      </c>
    </row>
    <row r="11">
      <c r="A11" s="3" t="inlineStr">
        <is>
          <t>Republican Candidates</t>
        </is>
      </c>
      <c r="B11" s="4">
        <f>COUNTIF(Candidates!L:L,"R")</f>
        <v/>
      </c>
      <c r="C11" s="5" t="inlineStr">
        <is>
          <t>Final party = R</t>
        </is>
      </c>
      <c r="E11" s="3" t="inlineStr"/>
      <c r="F11" s="3" t="inlineStr">
        <is>
          <t>House</t>
        </is>
      </c>
      <c r="G11" s="3" t="inlineStr">
        <is>
          <t>Senate</t>
        </is>
      </c>
    </row>
    <row r="12">
      <c r="A12" s="3" t="inlineStr">
        <is>
          <t>Unknown Party</t>
        </is>
      </c>
      <c r="B12" s="4">
        <f>COUNTIF(Candidates!H:H,"UNKNOWN")</f>
        <v/>
      </c>
      <c r="C12" s="5" t="inlineStr">
        <is>
          <t>Needs research</t>
        </is>
      </c>
      <c r="E12" s="11" t="inlineStr">
        <is>
          <t>Democrats</t>
        </is>
      </c>
      <c r="F12">
        <f>COUNTIFS(Candidates!L:L,"D",Candidates!C:C,"H*")</f>
        <v/>
      </c>
      <c r="G12">
        <f>COUNTIFS(Candidates!L:L,"D",Candidates!C:C,"S*")</f>
        <v/>
      </c>
    </row>
    <row r="13">
      <c r="E13" s="12" t="inlineStr">
        <is>
          <t>Republicans</t>
        </is>
      </c>
      <c r="F13">
        <f>COUNTIFS(Candidates!L:L,"R",Candidates!C:C,"H*")</f>
        <v/>
      </c>
      <c r="G13">
        <f>COUNTIFS(Candidates!L:L,"R",Candidates!C:C,"S*")</f>
        <v/>
      </c>
    </row>
    <row r="14">
      <c r="A14" s="3" t="inlineStr">
        <is>
          <t>High Priority Recruits</t>
        </is>
      </c>
      <c r="B14" s="4">
        <f>COUNTIF('Race Analysis'!I:I,"High-D-Recruit")</f>
        <v/>
      </c>
      <c r="C14" s="5" t="inlineStr">
        <is>
          <t>Unopposed-R, no D filed</t>
        </is>
      </c>
    </row>
    <row r="15">
      <c r="A15" s="3" t="inlineStr">
        <is>
          <t>Open Seats</t>
        </is>
      </c>
      <c r="B15" s="4">
        <f>COUNTIF('Race Analysis'!I:I,"Open-Seat")</f>
        <v/>
      </c>
      <c r="C15" s="5" t="inlineStr">
        <is>
          <t>No incumbent running</t>
        </is>
      </c>
    </row>
    <row r="16">
      <c r="A16" s="3" t="inlineStr">
        <is>
          <t>Contested Races</t>
        </is>
      </c>
      <c r="B16" s="4">
        <f>COUNTIF('Race Analysis'!H:H,"Contested")</f>
        <v/>
      </c>
      <c r="C16" s="5" t="inlineStr">
        <is>
          <t>D vs R matchup</t>
        </is>
      </c>
    </row>
    <row r="18">
      <c r="A18" s="3" t="inlineStr">
        <is>
          <t>Research Queue Pending</t>
        </is>
      </c>
      <c r="B18" s="4">
        <f>COUNTIF('Research Queue'!I:I,"Pending")</f>
        <v/>
      </c>
      <c r="C18" s="5" t="inlineStr">
        <is>
          <t>Awaiting verification</t>
        </is>
      </c>
    </row>
    <row r="19">
      <c r="A19" s="3" t="inlineStr">
        <is>
          <t>Manual Overrides</t>
        </is>
      </c>
      <c r="B19" s="4">
        <f>COUNTIFS(Candidates!K:K,"&lt;&gt;")</f>
        <v/>
      </c>
      <c r="C19" s="5" t="inlineStr">
        <is>
          <t>Party manually set</t>
        </is>
      </c>
    </row>
    <row r="20">
      <c r="A20" s="3" t="inlineStr">
        <is>
          <t>Locked Candidates</t>
        </is>
      </c>
      <c r="B20" s="4">
        <f>COUNTIF(Candidates!M:M,"Yes")</f>
        <v/>
      </c>
      <c r="C20" s="5" t="inlineStr">
        <is>
          <t>Skip re-detection</t>
        </is>
      </c>
    </row>
    <row r="22">
      <c r="A22" s="13" t="inlineStr">
        <is>
          <t>QUICK FILTERS (Apply in Candidates tab)</t>
        </is>
      </c>
    </row>
    <row r="23">
      <c r="A23" s="14" t="inlineStr">
        <is>
          <t>• Needs Research: Filter H = UNKNOWN, M = blank</t>
        </is>
      </c>
    </row>
    <row r="24">
      <c r="A24" s="14" t="inlineStr">
        <is>
          <t>• Manual Overrides: Filter K ≠ blank</t>
        </is>
      </c>
    </row>
    <row r="25">
      <c r="A25" s="14" t="inlineStr">
        <is>
          <t>• Democrats Only: Filter L = D</t>
        </is>
      </c>
    </row>
    <row r="26">
      <c r="A26" s="14" t="inlineStr">
        <is>
          <t>• Republicans Only: Filter L = R</t>
        </is>
      </c>
    </row>
    <row r="27">
      <c r="A27" s="14" t="inlineStr">
        <is>
          <t>• Locked Candidates: Filter M = Yes</t>
        </is>
      </c>
    </row>
  </sheetData>
  <mergeCells count="5">
    <mergeCell ref="E10:G10"/>
    <mergeCell ref="A2:B2"/>
    <mergeCell ref="A1:G1"/>
    <mergeCell ref="E4:G4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0" customWidth="1" min="3" max="3"/>
    <col width="10" customWidth="1" min="4" max="4"/>
    <col width="35" customWidth="1" min="5" max="5"/>
    <col width="12" customWidth="1" min="6" max="6"/>
    <col width="15" customWidth="1" min="7" max="7"/>
    <col width="14" customWidth="1" min="8" max="8"/>
    <col width="14" customWidth="1" min="9" max="9"/>
  </cols>
  <sheetData>
    <row r="1">
      <c r="A1" s="15" t="inlineStr">
        <is>
          <t>district_id</t>
        </is>
      </c>
      <c r="B1" s="15" t="inlineStr">
        <is>
          <t>district_name</t>
        </is>
      </c>
      <c r="C1" s="15" t="inlineStr">
        <is>
          <t>chamber</t>
        </is>
      </c>
      <c r="D1" s="15" t="inlineStr">
        <is>
          <t>district_number</t>
        </is>
      </c>
      <c r="E1" s="15" t="inlineStr">
        <is>
          <t>incumbent_name</t>
        </is>
      </c>
      <c r="F1" s="15" t="inlineStr">
        <is>
          <t>incumbent_party</t>
        </is>
      </c>
      <c r="G1" s="15" t="inlineStr">
        <is>
          <t>incumbent_since</t>
        </is>
      </c>
      <c r="H1" s="15" t="inlineStr">
        <is>
          <t>next_election</t>
        </is>
      </c>
      <c r="I1" s="15" t="inlineStr">
        <is>
          <t>seats_up_2026</t>
        </is>
      </c>
    </row>
    <row r="2">
      <c r="A2" s="16" t="inlineStr">
        <is>
          <t>SC-House-001</t>
        </is>
      </c>
      <c r="B2" s="16" t="inlineStr">
        <is>
          <t>SC House District 1</t>
        </is>
      </c>
      <c r="C2" s="16" t="inlineStr">
        <is>
          <t>House</t>
        </is>
      </c>
      <c r="D2" s="16" t="n">
        <v>1</v>
      </c>
      <c r="E2" s="16" t="inlineStr">
        <is>
          <t>William R. "Bill" Whitmire</t>
        </is>
      </c>
      <c r="F2" s="16" t="inlineStr">
        <is>
          <t>Republican</t>
        </is>
      </c>
      <c r="G2" s="16" t="inlineStr"/>
      <c r="H2" s="16" t="n">
        <v>2026</v>
      </c>
      <c r="I2" s="16" t="inlineStr">
        <is>
          <t>Yes</t>
        </is>
      </c>
    </row>
    <row r="3">
      <c r="A3" s="17" t="inlineStr">
        <is>
          <t>SC-House-002</t>
        </is>
      </c>
      <c r="B3" s="17" t="inlineStr">
        <is>
          <t>SC House District 2</t>
        </is>
      </c>
      <c r="C3" s="17" t="inlineStr">
        <is>
          <t>House</t>
        </is>
      </c>
      <c r="D3" s="17" t="n">
        <v>2</v>
      </c>
      <c r="E3" s="17" t="inlineStr">
        <is>
          <t>Adam L. Duncan</t>
        </is>
      </c>
      <c r="F3" s="17" t="inlineStr">
        <is>
          <t>Republican</t>
        </is>
      </c>
      <c r="G3" s="17" t="inlineStr"/>
      <c r="H3" s="17" t="n">
        <v>2026</v>
      </c>
      <c r="I3" s="17" t="inlineStr">
        <is>
          <t>Yes</t>
        </is>
      </c>
    </row>
    <row r="4">
      <c r="A4" s="16" t="inlineStr">
        <is>
          <t>SC-House-003</t>
        </is>
      </c>
      <c r="B4" s="16" t="inlineStr">
        <is>
          <t>SC House District 3</t>
        </is>
      </c>
      <c r="C4" s="16" t="inlineStr">
        <is>
          <t>House</t>
        </is>
      </c>
      <c r="D4" s="16" t="n">
        <v>3</v>
      </c>
      <c r="E4" s="16" t="inlineStr">
        <is>
          <t>Phillip Bowers</t>
        </is>
      </c>
      <c r="F4" s="16" t="inlineStr">
        <is>
          <t>Republican</t>
        </is>
      </c>
      <c r="G4" s="16" t="inlineStr"/>
      <c r="H4" s="16" t="n">
        <v>2026</v>
      </c>
      <c r="I4" s="16" t="inlineStr">
        <is>
          <t>Yes</t>
        </is>
      </c>
    </row>
    <row r="5">
      <c r="A5" s="17" t="inlineStr">
        <is>
          <t>SC-House-004</t>
        </is>
      </c>
      <c r="B5" s="17" t="inlineStr">
        <is>
          <t>SC House District 4</t>
        </is>
      </c>
      <c r="C5" s="17" t="inlineStr">
        <is>
          <t>House</t>
        </is>
      </c>
      <c r="D5" s="17" t="n">
        <v>4</v>
      </c>
      <c r="E5" s="17" t="inlineStr">
        <is>
          <t>David R. Hiott</t>
        </is>
      </c>
      <c r="F5" s="17" t="inlineStr">
        <is>
          <t>Republican</t>
        </is>
      </c>
      <c r="G5" s="17" t="inlineStr"/>
      <c r="H5" s="17" t="n">
        <v>2026</v>
      </c>
      <c r="I5" s="17" t="inlineStr">
        <is>
          <t>Yes</t>
        </is>
      </c>
    </row>
    <row r="6">
      <c r="A6" s="16" t="inlineStr">
        <is>
          <t>SC-House-005</t>
        </is>
      </c>
      <c r="B6" s="16" t="inlineStr">
        <is>
          <t>SC House District 5</t>
        </is>
      </c>
      <c r="C6" s="16" t="inlineStr">
        <is>
          <t>House</t>
        </is>
      </c>
      <c r="D6" s="16" t="n">
        <v>5</v>
      </c>
      <c r="E6" s="16" t="inlineStr">
        <is>
          <t>Neal A. Collins</t>
        </is>
      </c>
      <c r="F6" s="16" t="inlineStr">
        <is>
          <t>Republican</t>
        </is>
      </c>
      <c r="G6" s="16" t="inlineStr"/>
      <c r="H6" s="16" t="n">
        <v>2026</v>
      </c>
      <c r="I6" s="16" t="inlineStr">
        <is>
          <t>Yes</t>
        </is>
      </c>
    </row>
    <row r="7">
      <c r="A7" s="17" t="inlineStr">
        <is>
          <t>SC-House-006</t>
        </is>
      </c>
      <c r="B7" s="17" t="inlineStr">
        <is>
          <t>SC House District 6</t>
        </is>
      </c>
      <c r="C7" s="17" t="inlineStr">
        <is>
          <t>House</t>
        </is>
      </c>
      <c r="D7" s="17" t="n">
        <v>6</v>
      </c>
      <c r="E7" s="17" t="inlineStr">
        <is>
          <t>April Cromer</t>
        </is>
      </c>
      <c r="F7" s="17" t="inlineStr">
        <is>
          <t>Republican</t>
        </is>
      </c>
      <c r="G7" s="17" t="inlineStr"/>
      <c r="H7" s="17" t="n">
        <v>2026</v>
      </c>
      <c r="I7" s="17" t="inlineStr">
        <is>
          <t>Yes</t>
        </is>
      </c>
    </row>
    <row r="8">
      <c r="A8" s="16" t="inlineStr">
        <is>
          <t>SC-House-007</t>
        </is>
      </c>
      <c r="B8" s="16" t="inlineStr">
        <is>
          <t>SC House District 7</t>
        </is>
      </c>
      <c r="C8" s="16" t="inlineStr">
        <is>
          <t>House</t>
        </is>
      </c>
      <c r="D8" s="16" t="n">
        <v>7</v>
      </c>
      <c r="E8" s="16" t="inlineStr">
        <is>
          <t>Thomas Lee Gilreath</t>
        </is>
      </c>
      <c r="F8" s="16" t="inlineStr">
        <is>
          <t>Republican</t>
        </is>
      </c>
      <c r="G8" s="16" t="inlineStr"/>
      <c r="H8" s="16" t="n">
        <v>2026</v>
      </c>
      <c r="I8" s="16" t="inlineStr">
        <is>
          <t>Yes</t>
        </is>
      </c>
    </row>
    <row r="9">
      <c r="A9" s="17" t="inlineStr">
        <is>
          <t>SC-House-008</t>
        </is>
      </c>
      <c r="B9" s="17" t="inlineStr">
        <is>
          <t>SC House District 8</t>
        </is>
      </c>
      <c r="C9" s="17" t="inlineStr">
        <is>
          <t>House</t>
        </is>
      </c>
      <c r="D9" s="17" t="n">
        <v>8</v>
      </c>
      <c r="E9" s="17" t="inlineStr">
        <is>
          <t>Donald G. "Don" Chapman</t>
        </is>
      </c>
      <c r="F9" s="17" t="inlineStr">
        <is>
          <t>Republican</t>
        </is>
      </c>
      <c r="G9" s="17" t="inlineStr"/>
      <c r="H9" s="17" t="n">
        <v>2026</v>
      </c>
      <c r="I9" s="17" t="inlineStr">
        <is>
          <t>Yes</t>
        </is>
      </c>
    </row>
    <row r="10">
      <c r="A10" s="16" t="inlineStr">
        <is>
          <t>SC-House-009</t>
        </is>
      </c>
      <c r="B10" s="16" t="inlineStr">
        <is>
          <t>SC House District 9</t>
        </is>
      </c>
      <c r="C10" s="16" t="inlineStr">
        <is>
          <t>House</t>
        </is>
      </c>
      <c r="D10" s="16" t="n">
        <v>9</v>
      </c>
      <c r="E10" s="16" t="inlineStr">
        <is>
          <t>Richard Blake Sanders</t>
        </is>
      </c>
      <c r="F10" s="16" t="inlineStr">
        <is>
          <t>Republican</t>
        </is>
      </c>
      <c r="G10" s="16" t="inlineStr"/>
      <c r="H10" s="16" t="n">
        <v>2026</v>
      </c>
      <c r="I10" s="16" t="inlineStr">
        <is>
          <t>Yes</t>
        </is>
      </c>
    </row>
    <row r="11">
      <c r="A11" s="17" t="inlineStr">
        <is>
          <t>SC-House-010</t>
        </is>
      </c>
      <c r="B11" s="17" t="inlineStr">
        <is>
          <t>SC House District 10</t>
        </is>
      </c>
      <c r="C11" s="17" t="inlineStr">
        <is>
          <t>House</t>
        </is>
      </c>
      <c r="D11" s="17" t="n">
        <v>10</v>
      </c>
      <c r="E11" s="17" t="inlineStr">
        <is>
          <t>Thomas Beach</t>
        </is>
      </c>
      <c r="F11" s="17" t="inlineStr">
        <is>
          <t>Republican</t>
        </is>
      </c>
      <c r="G11" s="17" t="inlineStr"/>
      <c r="H11" s="17" t="n">
        <v>2026</v>
      </c>
      <c r="I11" s="17" t="inlineStr">
        <is>
          <t>Yes</t>
        </is>
      </c>
    </row>
    <row r="12">
      <c r="A12" s="16" t="inlineStr">
        <is>
          <t>SC-House-011</t>
        </is>
      </c>
      <c r="B12" s="16" t="inlineStr">
        <is>
          <t>SC House District 11</t>
        </is>
      </c>
      <c r="C12" s="16" t="inlineStr">
        <is>
          <t>House</t>
        </is>
      </c>
      <c r="D12" s="16" t="n">
        <v>11</v>
      </c>
      <c r="E12" s="16" t="inlineStr">
        <is>
          <t>Craig A. Gagnon</t>
        </is>
      </c>
      <c r="F12" s="16" t="inlineStr">
        <is>
          <t>Republican</t>
        </is>
      </c>
      <c r="G12" s="16" t="inlineStr"/>
      <c r="H12" s="16" t="n">
        <v>2026</v>
      </c>
      <c r="I12" s="16" t="inlineStr">
        <is>
          <t>Yes</t>
        </is>
      </c>
    </row>
    <row r="13">
      <c r="A13" s="17" t="inlineStr">
        <is>
          <t>SC-House-012</t>
        </is>
      </c>
      <c r="B13" s="17" t="inlineStr">
        <is>
          <t>SC House District 12</t>
        </is>
      </c>
      <c r="C13" s="17" t="inlineStr">
        <is>
          <t>House</t>
        </is>
      </c>
      <c r="D13" s="17" t="n">
        <v>12</v>
      </c>
      <c r="E13" s="17" t="inlineStr">
        <is>
          <t>Daniel Gibson</t>
        </is>
      </c>
      <c r="F13" s="17" t="inlineStr">
        <is>
          <t>Republican</t>
        </is>
      </c>
      <c r="G13" s="17" t="inlineStr"/>
      <c r="H13" s="17" t="n">
        <v>2026</v>
      </c>
      <c r="I13" s="17" t="inlineStr">
        <is>
          <t>Yes</t>
        </is>
      </c>
    </row>
    <row r="14">
      <c r="A14" s="16" t="inlineStr">
        <is>
          <t>SC-House-013</t>
        </is>
      </c>
      <c r="B14" s="16" t="inlineStr">
        <is>
          <t>SC House District 13</t>
        </is>
      </c>
      <c r="C14" s="16" t="inlineStr">
        <is>
          <t>House</t>
        </is>
      </c>
      <c r="D14" s="16" t="n">
        <v>13</v>
      </c>
      <c r="E14" s="16" t="inlineStr">
        <is>
          <t>John R. McCravy III</t>
        </is>
      </c>
      <c r="F14" s="16" t="inlineStr">
        <is>
          <t>Republican</t>
        </is>
      </c>
      <c r="G14" s="16" t="inlineStr"/>
      <c r="H14" s="16" t="n">
        <v>2026</v>
      </c>
      <c r="I14" s="16" t="inlineStr">
        <is>
          <t>Yes</t>
        </is>
      </c>
    </row>
    <row r="15">
      <c r="A15" s="17" t="inlineStr">
        <is>
          <t>SC-House-014</t>
        </is>
      </c>
      <c r="B15" s="17" t="inlineStr">
        <is>
          <t>SC House District 14</t>
        </is>
      </c>
      <c r="C15" s="17" t="inlineStr">
        <is>
          <t>House</t>
        </is>
      </c>
      <c r="D15" s="17" t="n">
        <v>14</v>
      </c>
      <c r="E15" s="17" t="inlineStr">
        <is>
          <t>Luke S. Rankin</t>
        </is>
      </c>
      <c r="F15" s="17" t="inlineStr">
        <is>
          <t>Republican</t>
        </is>
      </c>
      <c r="G15" s="17" t="inlineStr"/>
      <c r="H15" s="17" t="n">
        <v>2026</v>
      </c>
      <c r="I15" s="17" t="inlineStr">
        <is>
          <t>Yes</t>
        </is>
      </c>
    </row>
    <row r="16">
      <c r="A16" s="16" t="inlineStr">
        <is>
          <t>SC-House-015</t>
        </is>
      </c>
      <c r="B16" s="16" t="inlineStr">
        <is>
          <t>SC House District 15</t>
        </is>
      </c>
      <c r="C16" s="16" t="inlineStr">
        <is>
          <t>House</t>
        </is>
      </c>
      <c r="D16" s="16" t="n">
        <v>15</v>
      </c>
      <c r="E16" s="16" t="inlineStr">
        <is>
          <t>JA Moore</t>
        </is>
      </c>
      <c r="F16" s="16" t="inlineStr">
        <is>
          <t>Democratic</t>
        </is>
      </c>
      <c r="G16" s="16" t="inlineStr"/>
      <c r="H16" s="16" t="n">
        <v>2026</v>
      </c>
      <c r="I16" s="16" t="inlineStr">
        <is>
          <t>Yes</t>
        </is>
      </c>
    </row>
    <row r="17">
      <c r="A17" s="17" t="inlineStr">
        <is>
          <t>SC-House-016</t>
        </is>
      </c>
      <c r="B17" s="17" t="inlineStr">
        <is>
          <t>SC House District 16</t>
        </is>
      </c>
      <c r="C17" s="17" t="inlineStr">
        <is>
          <t>House</t>
        </is>
      </c>
      <c r="D17" s="17" t="n">
        <v>16</v>
      </c>
      <c r="E17" s="17" t="inlineStr">
        <is>
          <t>Mark N. Willis</t>
        </is>
      </c>
      <c r="F17" s="17" t="inlineStr">
        <is>
          <t>Republican</t>
        </is>
      </c>
      <c r="G17" s="17" t="inlineStr"/>
      <c r="H17" s="17" t="n">
        <v>2026</v>
      </c>
      <c r="I17" s="17" t="inlineStr">
        <is>
          <t>Yes</t>
        </is>
      </c>
    </row>
    <row r="18">
      <c r="A18" s="16" t="inlineStr">
        <is>
          <t>SC-House-017</t>
        </is>
      </c>
      <c r="B18" s="16" t="inlineStr">
        <is>
          <t>SC House District 17</t>
        </is>
      </c>
      <c r="C18" s="16" t="inlineStr">
        <is>
          <t>House</t>
        </is>
      </c>
      <c r="D18" s="16" t="n">
        <v>17</v>
      </c>
      <c r="E18" s="16" t="inlineStr">
        <is>
          <t>James Mikell "Mike" Burns</t>
        </is>
      </c>
      <c r="F18" s="16" t="inlineStr">
        <is>
          <t>Republican</t>
        </is>
      </c>
      <c r="G18" s="16" t="inlineStr"/>
      <c r="H18" s="16" t="n">
        <v>2026</v>
      </c>
      <c r="I18" s="16" t="inlineStr">
        <is>
          <t>Yes</t>
        </is>
      </c>
    </row>
    <row r="19">
      <c r="A19" s="17" t="inlineStr">
        <is>
          <t>SC-House-018</t>
        </is>
      </c>
      <c r="B19" s="17" t="inlineStr">
        <is>
          <t>SC House District 18</t>
        </is>
      </c>
      <c r="C19" s="17" t="inlineStr">
        <is>
          <t>House</t>
        </is>
      </c>
      <c r="D19" s="17" t="n">
        <v>18</v>
      </c>
      <c r="E19" s="17" t="inlineStr">
        <is>
          <t>T. Alan Morgan, Jr.</t>
        </is>
      </c>
      <c r="F19" s="17" t="inlineStr">
        <is>
          <t>Republican</t>
        </is>
      </c>
      <c r="G19" s="17" t="inlineStr"/>
      <c r="H19" s="17" t="n">
        <v>2026</v>
      </c>
      <c r="I19" s="17" t="inlineStr">
        <is>
          <t>Yes</t>
        </is>
      </c>
    </row>
    <row r="20">
      <c r="A20" s="16" t="inlineStr">
        <is>
          <t>SC-House-019</t>
        </is>
      </c>
      <c r="B20" s="16" t="inlineStr">
        <is>
          <t>SC House District 19</t>
        </is>
      </c>
      <c r="C20" s="16" t="inlineStr">
        <is>
          <t>House</t>
        </is>
      </c>
      <c r="D20" s="16" t="n">
        <v>19</v>
      </c>
      <c r="E20" s="16" t="inlineStr">
        <is>
          <t>Patrick B. Haddon</t>
        </is>
      </c>
      <c r="F20" s="16" t="inlineStr">
        <is>
          <t>Republican</t>
        </is>
      </c>
      <c r="G20" s="16" t="inlineStr"/>
      <c r="H20" s="16" t="n">
        <v>2026</v>
      </c>
      <c r="I20" s="16" t="inlineStr">
        <is>
          <t>Yes</t>
        </is>
      </c>
    </row>
    <row r="21">
      <c r="A21" s="17" t="inlineStr">
        <is>
          <t>SC-House-020</t>
        </is>
      </c>
      <c r="B21" s="17" t="inlineStr">
        <is>
          <t>SC House District 20</t>
        </is>
      </c>
      <c r="C21" s="17" t="inlineStr">
        <is>
          <t>House</t>
        </is>
      </c>
      <c r="D21" s="17" t="n">
        <v>20</v>
      </c>
      <c r="E21" s="17" t="inlineStr">
        <is>
          <t>Stephen Frank</t>
        </is>
      </c>
      <c r="F21" s="17" t="inlineStr">
        <is>
          <t>Republican</t>
        </is>
      </c>
      <c r="G21" s="17" t="inlineStr"/>
      <c r="H21" s="17" t="n">
        <v>2026</v>
      </c>
      <c r="I21" s="17" t="inlineStr">
        <is>
          <t>Yes</t>
        </is>
      </c>
    </row>
    <row r="22">
      <c r="A22" s="16" t="inlineStr">
        <is>
          <t>SC-House-021</t>
        </is>
      </c>
      <c r="B22" s="16" t="inlineStr">
        <is>
          <t>SC House District 21</t>
        </is>
      </c>
      <c r="C22" s="16" t="inlineStr">
        <is>
          <t>House</t>
        </is>
      </c>
      <c r="D22" s="16" t="n">
        <v>21</v>
      </c>
      <c r="E22" s="16" t="inlineStr">
        <is>
          <t>Dianne Mitchell</t>
        </is>
      </c>
      <c r="F22" s="16" t="inlineStr">
        <is>
          <t>Republican</t>
        </is>
      </c>
      <c r="G22" s="16" t="inlineStr"/>
      <c r="H22" s="16" t="n">
        <v>2026</v>
      </c>
      <c r="I22" s="16" t="inlineStr">
        <is>
          <t>Yes</t>
        </is>
      </c>
    </row>
    <row r="23">
      <c r="A23" s="17" t="inlineStr">
        <is>
          <t>SC-House-022</t>
        </is>
      </c>
      <c r="B23" s="17" t="inlineStr">
        <is>
          <t>SC House District 22</t>
        </is>
      </c>
      <c r="C23" s="17" t="inlineStr">
        <is>
          <t>House</t>
        </is>
      </c>
      <c r="D23" s="17" t="n">
        <v>22</v>
      </c>
      <c r="E23" s="17" t="inlineStr">
        <is>
          <t>Paul B. Wickensimer</t>
        </is>
      </c>
      <c r="F23" s="17" t="inlineStr">
        <is>
          <t>Republican</t>
        </is>
      </c>
      <c r="G23" s="17" t="inlineStr"/>
      <c r="H23" s="17" t="n">
        <v>2026</v>
      </c>
      <c r="I23" s="17" t="inlineStr">
        <is>
          <t>Yes</t>
        </is>
      </c>
    </row>
    <row r="24">
      <c r="A24" s="16" t="inlineStr">
        <is>
          <t>SC-House-023</t>
        </is>
      </c>
      <c r="B24" s="16" t="inlineStr">
        <is>
          <t>SC House District 23</t>
        </is>
      </c>
      <c r="C24" s="16" t="inlineStr">
        <is>
          <t>House</t>
        </is>
      </c>
      <c r="D24" s="16" t="n">
        <v>23</v>
      </c>
      <c r="E24" s="16" t="inlineStr">
        <is>
          <t>Chandra E. Dillard</t>
        </is>
      </c>
      <c r="F24" s="16" t="inlineStr">
        <is>
          <t>Democratic</t>
        </is>
      </c>
      <c r="G24" s="16" t="inlineStr"/>
      <c r="H24" s="16" t="n">
        <v>2026</v>
      </c>
      <c r="I24" s="16" t="inlineStr">
        <is>
          <t>Yes</t>
        </is>
      </c>
    </row>
    <row r="25">
      <c r="A25" s="17" t="inlineStr">
        <is>
          <t>SC-House-024</t>
        </is>
      </c>
      <c r="B25" s="17" t="inlineStr">
        <is>
          <t>SC House District 24</t>
        </is>
      </c>
      <c r="C25" s="17" t="inlineStr">
        <is>
          <t>House</t>
        </is>
      </c>
      <c r="D25" s="17" t="n">
        <v>24</v>
      </c>
      <c r="E25" s="17" t="inlineStr">
        <is>
          <t>Bruce W. Bannister</t>
        </is>
      </c>
      <c r="F25" s="17" t="inlineStr">
        <is>
          <t>Republican</t>
        </is>
      </c>
      <c r="G25" s="17" t="inlineStr"/>
      <c r="H25" s="17" t="n">
        <v>2026</v>
      </c>
      <c r="I25" s="17" t="inlineStr">
        <is>
          <t>Yes</t>
        </is>
      </c>
    </row>
    <row r="26">
      <c r="A26" s="16" t="inlineStr">
        <is>
          <t>SC-House-025</t>
        </is>
      </c>
      <c r="B26" s="16" t="inlineStr">
        <is>
          <t>SC House District 25</t>
        </is>
      </c>
      <c r="C26" s="16" t="inlineStr">
        <is>
          <t>House</t>
        </is>
      </c>
      <c r="D26" s="16" t="n">
        <v>25</v>
      </c>
      <c r="E26" s="16" t="inlineStr">
        <is>
          <t>Wendell K. Jones</t>
        </is>
      </c>
      <c r="F26" s="16" t="inlineStr">
        <is>
          <t>Democratic</t>
        </is>
      </c>
      <c r="G26" s="16" t="inlineStr"/>
      <c r="H26" s="16" t="n">
        <v>2026</v>
      </c>
      <c r="I26" s="16" t="inlineStr">
        <is>
          <t>Yes</t>
        </is>
      </c>
    </row>
    <row r="27">
      <c r="A27" s="17" t="inlineStr">
        <is>
          <t>SC-House-026</t>
        </is>
      </c>
      <c r="B27" s="17" t="inlineStr">
        <is>
          <t>SC House District 26</t>
        </is>
      </c>
      <c r="C27" s="17" t="inlineStr">
        <is>
          <t>House</t>
        </is>
      </c>
      <c r="D27" s="17" t="n">
        <v>26</v>
      </c>
      <c r="E27" s="17" t="inlineStr">
        <is>
          <t>David Martin</t>
        </is>
      </c>
      <c r="F27" s="17" t="inlineStr">
        <is>
          <t>Republican</t>
        </is>
      </c>
      <c r="G27" s="17" t="inlineStr"/>
      <c r="H27" s="17" t="n">
        <v>2026</v>
      </c>
      <c r="I27" s="17" t="inlineStr">
        <is>
          <t>Yes</t>
        </is>
      </c>
    </row>
    <row r="28">
      <c r="A28" s="16" t="inlineStr">
        <is>
          <t>SC-House-027</t>
        </is>
      </c>
      <c r="B28" s="16" t="inlineStr">
        <is>
          <t>SC House District 27</t>
        </is>
      </c>
      <c r="C28" s="16" t="inlineStr">
        <is>
          <t>House</t>
        </is>
      </c>
      <c r="D28" s="16" t="n">
        <v>27</v>
      </c>
      <c r="E28" s="16" t="inlineStr">
        <is>
          <t>David Vaughan</t>
        </is>
      </c>
      <c r="F28" s="16" t="inlineStr">
        <is>
          <t>Republican</t>
        </is>
      </c>
      <c r="G28" s="16" t="inlineStr"/>
      <c r="H28" s="16" t="n">
        <v>2026</v>
      </c>
      <c r="I28" s="16" t="inlineStr">
        <is>
          <t>Yes</t>
        </is>
      </c>
    </row>
    <row r="29">
      <c r="A29" s="17" t="inlineStr">
        <is>
          <t>SC-House-028</t>
        </is>
      </c>
      <c r="B29" s="17" t="inlineStr">
        <is>
          <t>SC House District 28</t>
        </is>
      </c>
      <c r="C29" s="17" t="inlineStr">
        <is>
          <t>House</t>
        </is>
      </c>
      <c r="D29" s="17" t="n">
        <v>28</v>
      </c>
      <c r="E29" s="17" t="inlineStr">
        <is>
          <t>William C. "Chris" Huff</t>
        </is>
      </c>
      <c r="F29" s="17" t="inlineStr">
        <is>
          <t>Republican</t>
        </is>
      </c>
      <c r="G29" s="17" t="inlineStr"/>
      <c r="H29" s="17" t="n">
        <v>2026</v>
      </c>
      <c r="I29" s="17" t="inlineStr">
        <is>
          <t>Yes</t>
        </is>
      </c>
    </row>
    <row r="30">
      <c r="A30" s="16" t="inlineStr">
        <is>
          <t>SC-House-029</t>
        </is>
      </c>
      <c r="B30" s="16" t="inlineStr">
        <is>
          <t>SC House District 29</t>
        </is>
      </c>
      <c r="C30" s="16" t="inlineStr">
        <is>
          <t>House</t>
        </is>
      </c>
      <c r="D30" s="16" t="n">
        <v>29</v>
      </c>
      <c r="E30" s="16" t="inlineStr">
        <is>
          <t>Dennis C. Moss</t>
        </is>
      </c>
      <c r="F30" s="16" t="inlineStr">
        <is>
          <t>Republican</t>
        </is>
      </c>
      <c r="G30" s="16" t="inlineStr"/>
      <c r="H30" s="16" t="n">
        <v>2026</v>
      </c>
      <c r="I30" s="16" t="inlineStr">
        <is>
          <t>Yes</t>
        </is>
      </c>
    </row>
    <row r="31">
      <c r="A31" s="17" t="inlineStr">
        <is>
          <t>SC-House-030</t>
        </is>
      </c>
      <c r="B31" s="17" t="inlineStr">
        <is>
          <t>SC House District 30</t>
        </is>
      </c>
      <c r="C31" s="17" t="inlineStr">
        <is>
          <t>House</t>
        </is>
      </c>
      <c r="D31" s="17" t="n">
        <v>30</v>
      </c>
      <c r="E31" s="17" t="inlineStr">
        <is>
          <t>M. Brian Lawson</t>
        </is>
      </c>
      <c r="F31" s="17" t="inlineStr">
        <is>
          <t>Republican</t>
        </is>
      </c>
      <c r="G31" s="17" t="inlineStr"/>
      <c r="H31" s="17" t="n">
        <v>2026</v>
      </c>
      <c r="I31" s="17" t="inlineStr">
        <is>
          <t>Yes</t>
        </is>
      </c>
    </row>
    <row r="32">
      <c r="A32" s="16" t="inlineStr">
        <is>
          <t>SC-House-031</t>
        </is>
      </c>
      <c r="B32" s="16" t="inlineStr">
        <is>
          <t>SC House District 31</t>
        </is>
      </c>
      <c r="C32" s="16" t="inlineStr">
        <is>
          <t>House</t>
        </is>
      </c>
      <c r="D32" s="16" t="n">
        <v>31</v>
      </c>
      <c r="E32" s="16" t="inlineStr">
        <is>
          <t>Rosalyn D. Henderson-Myers, Ph.D.</t>
        </is>
      </c>
      <c r="F32" s="16" t="inlineStr">
        <is>
          <t>Democratic</t>
        </is>
      </c>
      <c r="G32" s="16" t="inlineStr"/>
      <c r="H32" s="16" t="n">
        <v>2026</v>
      </c>
      <c r="I32" s="16" t="inlineStr">
        <is>
          <t>Yes</t>
        </is>
      </c>
    </row>
    <row r="33">
      <c r="A33" s="17" t="inlineStr">
        <is>
          <t>SC-House-032</t>
        </is>
      </c>
      <c r="B33" s="17" t="inlineStr">
        <is>
          <t>SC House District 32</t>
        </is>
      </c>
      <c r="C33" s="17" t="inlineStr">
        <is>
          <t>House</t>
        </is>
      </c>
      <c r="D33" s="17" t="n">
        <v>32</v>
      </c>
      <c r="E33" s="17" t="inlineStr">
        <is>
          <t>W. Scott Montgomery IV</t>
        </is>
      </c>
      <c r="F33" s="17" t="inlineStr">
        <is>
          <t>Republican</t>
        </is>
      </c>
      <c r="G33" s="17" t="inlineStr"/>
      <c r="H33" s="17" t="n">
        <v>2026</v>
      </c>
      <c r="I33" s="17" t="inlineStr">
        <is>
          <t>Yes</t>
        </is>
      </c>
    </row>
    <row r="34">
      <c r="A34" s="16" t="inlineStr">
        <is>
          <t>SC-House-033</t>
        </is>
      </c>
      <c r="B34" s="16" t="inlineStr">
        <is>
          <t>SC House District 33</t>
        </is>
      </c>
      <c r="C34" s="16" t="inlineStr">
        <is>
          <t>House</t>
        </is>
      </c>
      <c r="D34" s="16" t="n">
        <v>33</v>
      </c>
      <c r="E34" s="16" t="inlineStr">
        <is>
          <t>Travis A. Moore</t>
        </is>
      </c>
      <c r="F34" s="16" t="inlineStr">
        <is>
          <t>Republican</t>
        </is>
      </c>
      <c r="G34" s="16" t="inlineStr"/>
      <c r="H34" s="16" t="n">
        <v>2026</v>
      </c>
      <c r="I34" s="16" t="inlineStr">
        <is>
          <t>Yes</t>
        </is>
      </c>
    </row>
    <row r="35">
      <c r="A35" s="17" t="inlineStr">
        <is>
          <t>SC-House-034</t>
        </is>
      </c>
      <c r="B35" s="17" t="inlineStr">
        <is>
          <t>SC House District 34</t>
        </is>
      </c>
      <c r="C35" s="17" t="inlineStr">
        <is>
          <t>House</t>
        </is>
      </c>
      <c r="D35" s="17" t="n">
        <v>34</v>
      </c>
      <c r="E35" s="17" t="inlineStr">
        <is>
          <t>Sarita L. Edgerton</t>
        </is>
      </c>
      <c r="F35" s="17" t="inlineStr">
        <is>
          <t>Republican</t>
        </is>
      </c>
      <c r="G35" s="17" t="inlineStr"/>
      <c r="H35" s="17" t="n">
        <v>2026</v>
      </c>
      <c r="I35" s="17" t="inlineStr">
        <is>
          <t>Yes</t>
        </is>
      </c>
    </row>
    <row r="36">
      <c r="A36" s="16" t="inlineStr">
        <is>
          <t>SC-House-035</t>
        </is>
      </c>
      <c r="B36" s="16" t="inlineStr">
        <is>
          <t>SC House District 35</t>
        </is>
      </c>
      <c r="C36" s="16" t="inlineStr">
        <is>
          <t>House</t>
        </is>
      </c>
      <c r="D36" s="16" t="n">
        <v>35</v>
      </c>
      <c r="E36" s="16" t="inlineStr">
        <is>
          <t>William M. "Bill" Chumley</t>
        </is>
      </c>
      <c r="F36" s="16" t="inlineStr">
        <is>
          <t>Republican</t>
        </is>
      </c>
      <c r="G36" s="16" t="inlineStr"/>
      <c r="H36" s="16" t="n">
        <v>2026</v>
      </c>
      <c r="I36" s="16" t="inlineStr">
        <is>
          <t>Yes</t>
        </is>
      </c>
    </row>
    <row r="37">
      <c r="A37" s="17" t="inlineStr">
        <is>
          <t>SC-House-036</t>
        </is>
      </c>
      <c r="B37" s="17" t="inlineStr">
        <is>
          <t>SC House District 36</t>
        </is>
      </c>
      <c r="C37" s="17" t="inlineStr">
        <is>
          <t>House</t>
        </is>
      </c>
      <c r="D37" s="17" t="n">
        <v>36</v>
      </c>
      <c r="E37" s="17" t="inlineStr">
        <is>
          <t>Robert J. "Rob" Harris</t>
        </is>
      </c>
      <c r="F37" s="17" t="inlineStr">
        <is>
          <t>Republican</t>
        </is>
      </c>
      <c r="G37" s="17" t="inlineStr"/>
      <c r="H37" s="17" t="n">
        <v>2026</v>
      </c>
      <c r="I37" s="17" t="inlineStr">
        <is>
          <t>Yes</t>
        </is>
      </c>
    </row>
    <row r="38">
      <c r="A38" s="16" t="inlineStr">
        <is>
          <t>SC-House-037</t>
        </is>
      </c>
      <c r="B38" s="16" t="inlineStr">
        <is>
          <t>SC House District 37</t>
        </is>
      </c>
      <c r="C38" s="16" t="inlineStr">
        <is>
          <t>House</t>
        </is>
      </c>
      <c r="D38" s="16" t="n">
        <v>37</v>
      </c>
      <c r="E38" s="16" t="inlineStr">
        <is>
          <t>Steven Wayne Long</t>
        </is>
      </c>
      <c r="F38" s="16" t="inlineStr">
        <is>
          <t>Republican</t>
        </is>
      </c>
      <c r="G38" s="16" t="inlineStr"/>
      <c r="H38" s="16" t="n">
        <v>2026</v>
      </c>
      <c r="I38" s="16" t="inlineStr">
        <is>
          <t>Yes</t>
        </is>
      </c>
    </row>
    <row r="39">
      <c r="A39" s="17" t="inlineStr">
        <is>
          <t>SC-House-038</t>
        </is>
      </c>
      <c r="B39" s="17" t="inlineStr">
        <is>
          <t>SC House District 38</t>
        </is>
      </c>
      <c r="C39" s="17" t="inlineStr">
        <is>
          <t>House</t>
        </is>
      </c>
      <c r="D39" s="17" t="n">
        <v>38</v>
      </c>
      <c r="E39" s="17" t="inlineStr">
        <is>
          <t>Josiah Magnuson</t>
        </is>
      </c>
      <c r="F39" s="17" t="inlineStr">
        <is>
          <t>Republican</t>
        </is>
      </c>
      <c r="G39" s="17" t="inlineStr"/>
      <c r="H39" s="17" t="n">
        <v>2026</v>
      </c>
      <c r="I39" s="17" t="inlineStr">
        <is>
          <t>Yes</t>
        </is>
      </c>
    </row>
    <row r="40">
      <c r="A40" s="16" t="inlineStr">
        <is>
          <t>SC-House-039</t>
        </is>
      </c>
      <c r="B40" s="16" t="inlineStr">
        <is>
          <t>SC House District 39</t>
        </is>
      </c>
      <c r="C40" s="16" t="inlineStr">
        <is>
          <t>House</t>
        </is>
      </c>
      <c r="D40" s="16" t="n">
        <v>39</v>
      </c>
      <c r="E40" s="16" t="inlineStr">
        <is>
          <t>Cally R. "Cal" Forrest, Jr.</t>
        </is>
      </c>
      <c r="F40" s="16" t="inlineStr">
        <is>
          <t>Republican</t>
        </is>
      </c>
      <c r="G40" s="16" t="inlineStr"/>
      <c r="H40" s="16" t="n">
        <v>2026</v>
      </c>
      <c r="I40" s="16" t="inlineStr">
        <is>
          <t>Yes</t>
        </is>
      </c>
    </row>
    <row r="41">
      <c r="A41" s="17" t="inlineStr">
        <is>
          <t>SC-House-040</t>
        </is>
      </c>
      <c r="B41" s="17" t="inlineStr">
        <is>
          <t>SC House District 40</t>
        </is>
      </c>
      <c r="C41" s="17" t="inlineStr">
        <is>
          <t>House</t>
        </is>
      </c>
      <c r="D41" s="17" t="n">
        <v>40</v>
      </c>
      <c r="E41" s="17" t="inlineStr">
        <is>
          <t>Joseph S. "Joe" White</t>
        </is>
      </c>
      <c r="F41" s="17" t="inlineStr">
        <is>
          <t>Republican</t>
        </is>
      </c>
      <c r="G41" s="17" t="inlineStr"/>
      <c r="H41" s="17" t="n">
        <v>2026</v>
      </c>
      <c r="I41" s="17" t="inlineStr">
        <is>
          <t>Yes</t>
        </is>
      </c>
    </row>
    <row r="42">
      <c r="A42" s="16" t="inlineStr">
        <is>
          <t>SC-House-041</t>
        </is>
      </c>
      <c r="B42" s="16" t="inlineStr">
        <is>
          <t>SC House District 41</t>
        </is>
      </c>
      <c r="C42" s="16" t="inlineStr">
        <is>
          <t>House</t>
        </is>
      </c>
      <c r="D42" s="16" t="n">
        <v>41</v>
      </c>
      <c r="E42" s="16" t="inlineStr">
        <is>
          <t>Annie E. McDaniel</t>
        </is>
      </c>
      <c r="F42" s="16" t="inlineStr">
        <is>
          <t>Democratic</t>
        </is>
      </c>
      <c r="G42" s="16" t="inlineStr"/>
      <c r="H42" s="16" t="n">
        <v>2026</v>
      </c>
      <c r="I42" s="16" t="inlineStr">
        <is>
          <t>Yes</t>
        </is>
      </c>
    </row>
    <row r="43">
      <c r="A43" s="17" t="inlineStr">
        <is>
          <t>SC-House-042</t>
        </is>
      </c>
      <c r="B43" s="17" t="inlineStr">
        <is>
          <t>SC House District 42</t>
        </is>
      </c>
      <c r="C43" s="17" t="inlineStr">
        <is>
          <t>House</t>
        </is>
      </c>
      <c r="D43" s="17" t="n">
        <v>42</v>
      </c>
      <c r="E43" s="17" t="inlineStr">
        <is>
          <t>Leon D. "Doug" Gilliam</t>
        </is>
      </c>
      <c r="F43" s="17" t="inlineStr">
        <is>
          <t>Republican</t>
        </is>
      </c>
      <c r="G43" s="17" t="inlineStr"/>
      <c r="H43" s="17" t="n">
        <v>2026</v>
      </c>
      <c r="I43" s="17" t="inlineStr">
        <is>
          <t>Yes</t>
        </is>
      </c>
    </row>
    <row r="44">
      <c r="A44" s="16" t="inlineStr">
        <is>
          <t>SC-House-043</t>
        </is>
      </c>
      <c r="B44" s="16" t="inlineStr">
        <is>
          <t>SC House District 43</t>
        </is>
      </c>
      <c r="C44" s="16" t="inlineStr">
        <is>
          <t>House</t>
        </is>
      </c>
      <c r="D44" s="16" t="n">
        <v>43</v>
      </c>
      <c r="E44" s="16" t="inlineStr">
        <is>
          <t>Thomas R. "Randy" Ligon</t>
        </is>
      </c>
      <c r="F44" s="16" t="inlineStr">
        <is>
          <t>Republican</t>
        </is>
      </c>
      <c r="G44" s="16" t="inlineStr"/>
      <c r="H44" s="16" t="n">
        <v>2026</v>
      </c>
      <c r="I44" s="16" t="inlineStr">
        <is>
          <t>Yes</t>
        </is>
      </c>
    </row>
    <row r="45">
      <c r="A45" s="17" t="inlineStr">
        <is>
          <t>SC-House-044</t>
        </is>
      </c>
      <c r="B45" s="17" t="inlineStr">
        <is>
          <t>SC House District 44</t>
        </is>
      </c>
      <c r="C45" s="17" t="inlineStr">
        <is>
          <t>House</t>
        </is>
      </c>
      <c r="D45" s="17" t="n">
        <v>44</v>
      </c>
      <c r="E45" s="17" t="inlineStr">
        <is>
          <t>James M. "Mike" Neese</t>
        </is>
      </c>
      <c r="F45" s="17" t="inlineStr">
        <is>
          <t>Republican</t>
        </is>
      </c>
      <c r="G45" s="17" t="inlineStr"/>
      <c r="H45" s="17" t="n">
        <v>2026</v>
      </c>
      <c r="I45" s="17" t="inlineStr">
        <is>
          <t>Yes</t>
        </is>
      </c>
    </row>
    <row r="46">
      <c r="A46" s="16" t="inlineStr">
        <is>
          <t>SC-House-045</t>
        </is>
      </c>
      <c r="B46" s="16" t="inlineStr">
        <is>
          <t>SC House District 45</t>
        </is>
      </c>
      <c r="C46" s="16" t="inlineStr">
        <is>
          <t>House</t>
        </is>
      </c>
      <c r="D46" s="16" t="n">
        <v>45</v>
      </c>
      <c r="E46" s="16" t="inlineStr">
        <is>
          <t>Brandon Newton</t>
        </is>
      </c>
      <c r="F46" s="16" t="inlineStr">
        <is>
          <t>Republican</t>
        </is>
      </c>
      <c r="G46" s="16" t="inlineStr"/>
      <c r="H46" s="16" t="n">
        <v>2026</v>
      </c>
      <c r="I46" s="16" t="inlineStr">
        <is>
          <t>Yes</t>
        </is>
      </c>
    </row>
    <row r="47">
      <c r="A47" s="17" t="inlineStr">
        <is>
          <t>SC-House-046</t>
        </is>
      </c>
      <c r="B47" s="17" t="inlineStr">
        <is>
          <t>SC House District 46</t>
        </is>
      </c>
      <c r="C47" s="17" t="inlineStr">
        <is>
          <t>House</t>
        </is>
      </c>
      <c r="D47" s="17" t="n">
        <v>46</v>
      </c>
      <c r="E47" s="17" t="inlineStr">
        <is>
          <t>Heath Sessions</t>
        </is>
      </c>
      <c r="F47" s="17" t="inlineStr">
        <is>
          <t>Republican</t>
        </is>
      </c>
      <c r="G47" s="17" t="inlineStr"/>
      <c r="H47" s="17" t="n">
        <v>2026</v>
      </c>
      <c r="I47" s="17" t="inlineStr">
        <is>
          <t>Yes</t>
        </is>
      </c>
    </row>
    <row r="48">
      <c r="A48" s="16" t="inlineStr">
        <is>
          <t>SC-House-047</t>
        </is>
      </c>
      <c r="B48" s="16" t="inlineStr">
        <is>
          <t>SC House District 47</t>
        </is>
      </c>
      <c r="C48" s="16" t="inlineStr">
        <is>
          <t>House</t>
        </is>
      </c>
      <c r="D48" s="16" t="n">
        <v>47</v>
      </c>
      <c r="E48" s="16" t="inlineStr">
        <is>
          <t>Thomas E. "Tommy" Pope</t>
        </is>
      </c>
      <c r="F48" s="16" t="inlineStr">
        <is>
          <t>Republican</t>
        </is>
      </c>
      <c r="G48" s="16" t="inlineStr"/>
      <c r="H48" s="16" t="n">
        <v>2026</v>
      </c>
      <c r="I48" s="16" t="inlineStr">
        <is>
          <t>Yes</t>
        </is>
      </c>
    </row>
    <row r="49">
      <c r="A49" s="17" t="inlineStr">
        <is>
          <t>SC-House-048</t>
        </is>
      </c>
      <c r="B49" s="17" t="inlineStr">
        <is>
          <t>SC House District 48</t>
        </is>
      </c>
      <c r="C49" s="17" t="inlineStr">
        <is>
          <t>House</t>
        </is>
      </c>
      <c r="D49" s="17" t="n">
        <v>48</v>
      </c>
      <c r="E49" s="17" t="inlineStr">
        <is>
          <t>Brandon Guffey</t>
        </is>
      </c>
      <c r="F49" s="17" t="inlineStr">
        <is>
          <t>Republican</t>
        </is>
      </c>
      <c r="G49" s="17" t="inlineStr"/>
      <c r="H49" s="17" t="n">
        <v>2026</v>
      </c>
      <c r="I49" s="17" t="inlineStr">
        <is>
          <t>Yes</t>
        </is>
      </c>
    </row>
    <row r="50">
      <c r="A50" s="16" t="inlineStr">
        <is>
          <t>SC-House-049</t>
        </is>
      </c>
      <c r="B50" s="16" t="inlineStr">
        <is>
          <t>SC House District 49</t>
        </is>
      </c>
      <c r="C50" s="16" t="inlineStr">
        <is>
          <t>House</t>
        </is>
      </c>
      <c r="D50" s="16" t="n">
        <v>49</v>
      </c>
      <c r="E50" s="16" t="inlineStr">
        <is>
          <t>John Richard C. King</t>
        </is>
      </c>
      <c r="F50" s="16" t="inlineStr">
        <is>
          <t>Democratic</t>
        </is>
      </c>
      <c r="G50" s="16" t="inlineStr"/>
      <c r="H50" s="16" t="n">
        <v>2026</v>
      </c>
      <c r="I50" s="16" t="inlineStr">
        <is>
          <t>Yes</t>
        </is>
      </c>
    </row>
    <row r="51">
      <c r="A51" s="17" t="inlineStr">
        <is>
          <t>SC-House-050</t>
        </is>
      </c>
      <c r="B51" s="17" t="inlineStr">
        <is>
          <t>SC House District 50</t>
        </is>
      </c>
      <c r="C51" s="17" t="inlineStr">
        <is>
          <t>House</t>
        </is>
      </c>
      <c r="D51" s="17" t="n">
        <v>50</v>
      </c>
      <c r="E51" s="17" t="inlineStr">
        <is>
          <t>Keishan M. Scott</t>
        </is>
      </c>
      <c r="F51" s="17" t="inlineStr">
        <is>
          <t>Democratic</t>
        </is>
      </c>
      <c r="G51" s="17" t="inlineStr"/>
      <c r="H51" s="17" t="n">
        <v>2026</v>
      </c>
      <c r="I51" s="17" t="inlineStr">
        <is>
          <t>Yes</t>
        </is>
      </c>
    </row>
    <row r="52">
      <c r="A52" s="16" t="inlineStr">
        <is>
          <t>SC-House-051</t>
        </is>
      </c>
      <c r="B52" s="16" t="inlineStr">
        <is>
          <t>SC House District 51</t>
        </is>
      </c>
      <c r="C52" s="16" t="inlineStr">
        <is>
          <t>House</t>
        </is>
      </c>
      <c r="D52" s="16" t="n">
        <v>51</v>
      </c>
      <c r="E52" s="16" t="inlineStr">
        <is>
          <t>J. David Weeks</t>
        </is>
      </c>
      <c r="F52" s="16" t="inlineStr">
        <is>
          <t>Democratic</t>
        </is>
      </c>
      <c r="G52" s="16" t="inlineStr"/>
      <c r="H52" s="16" t="n">
        <v>2026</v>
      </c>
      <c r="I52" s="16" t="inlineStr">
        <is>
          <t>Yes</t>
        </is>
      </c>
    </row>
    <row r="53">
      <c r="A53" s="17" t="inlineStr">
        <is>
          <t>SC-House-052</t>
        </is>
      </c>
      <c r="B53" s="17" t="inlineStr">
        <is>
          <t>SC House District 52</t>
        </is>
      </c>
      <c r="C53" s="17" t="inlineStr">
        <is>
          <t>House</t>
        </is>
      </c>
      <c r="D53" s="17" t="n">
        <v>52</v>
      </c>
      <c r="E53" s="17" t="inlineStr">
        <is>
          <t>Jermaine L. Johnson, Sr.</t>
        </is>
      </c>
      <c r="F53" s="17" t="inlineStr">
        <is>
          <t>Democratic</t>
        </is>
      </c>
      <c r="G53" s="17" t="inlineStr"/>
      <c r="H53" s="17" t="n">
        <v>2026</v>
      </c>
      <c r="I53" s="17" t="inlineStr">
        <is>
          <t>Yes</t>
        </is>
      </c>
    </row>
    <row r="54">
      <c r="A54" s="16" t="inlineStr">
        <is>
          <t>SC-House-053</t>
        </is>
      </c>
      <c r="B54" s="16" t="inlineStr">
        <is>
          <t>SC House District 53</t>
        </is>
      </c>
      <c r="C54" s="16" t="inlineStr">
        <is>
          <t>House</t>
        </is>
      </c>
      <c r="D54" s="16" t="n">
        <v>53</v>
      </c>
      <c r="E54" s="16" t="inlineStr">
        <is>
          <t>Richard L. "Richie" Yow</t>
        </is>
      </c>
      <c r="F54" s="16" t="inlineStr">
        <is>
          <t>Republican</t>
        </is>
      </c>
      <c r="G54" s="16" t="inlineStr"/>
      <c r="H54" s="16" t="n">
        <v>2026</v>
      </c>
      <c r="I54" s="16" t="inlineStr">
        <is>
          <t>Yes</t>
        </is>
      </c>
    </row>
    <row r="55">
      <c r="A55" s="17" t="inlineStr">
        <is>
          <t>SC-House-054</t>
        </is>
      </c>
      <c r="B55" s="17" t="inlineStr">
        <is>
          <t>SC House District 54</t>
        </is>
      </c>
      <c r="C55" s="17" t="inlineStr">
        <is>
          <t>House</t>
        </is>
      </c>
      <c r="D55" s="17" t="n">
        <v>54</v>
      </c>
      <c r="E55" s="17" t="inlineStr">
        <is>
          <t>Jason S. Luck</t>
        </is>
      </c>
      <c r="F55" s="17" t="inlineStr">
        <is>
          <t>Democratic</t>
        </is>
      </c>
      <c r="G55" s="17" t="inlineStr"/>
      <c r="H55" s="17" t="n">
        <v>2026</v>
      </c>
      <c r="I55" s="17" t="inlineStr">
        <is>
          <t>Yes</t>
        </is>
      </c>
    </row>
    <row r="56">
      <c r="A56" s="16" t="inlineStr">
        <is>
          <t>SC-House-055</t>
        </is>
      </c>
      <c r="B56" s="16" t="inlineStr">
        <is>
          <t>SC House District 55</t>
        </is>
      </c>
      <c r="C56" s="16" t="inlineStr">
        <is>
          <t>House</t>
        </is>
      </c>
      <c r="D56" s="16" t="n">
        <v>55</v>
      </c>
      <c r="E56" s="16" t="inlineStr">
        <is>
          <t>Jackie E. "Coach" Hayes</t>
        </is>
      </c>
      <c r="F56" s="16" t="inlineStr">
        <is>
          <t>Democratic</t>
        </is>
      </c>
      <c r="G56" s="16" t="inlineStr"/>
      <c r="H56" s="16" t="n">
        <v>2026</v>
      </c>
      <c r="I56" s="16" t="inlineStr">
        <is>
          <t>Yes</t>
        </is>
      </c>
    </row>
    <row r="57">
      <c r="A57" s="17" t="inlineStr">
        <is>
          <t>SC-House-056</t>
        </is>
      </c>
      <c r="B57" s="17" t="inlineStr">
        <is>
          <t>SC House District 56</t>
        </is>
      </c>
      <c r="C57" s="17" t="inlineStr">
        <is>
          <t>House</t>
        </is>
      </c>
      <c r="D57" s="17" t="n">
        <v>56</v>
      </c>
      <c r="E57" s="17" t="inlineStr">
        <is>
          <t>Timothy A. "Tim" McGinnis</t>
        </is>
      </c>
      <c r="F57" s="17" t="inlineStr">
        <is>
          <t>Republican</t>
        </is>
      </c>
      <c r="G57" s="17" t="inlineStr"/>
      <c r="H57" s="17" t="n">
        <v>2026</v>
      </c>
      <c r="I57" s="17" t="inlineStr">
        <is>
          <t>Yes</t>
        </is>
      </c>
    </row>
    <row r="58">
      <c r="A58" s="16" t="inlineStr">
        <is>
          <t>SC-House-057</t>
        </is>
      </c>
      <c r="B58" s="16" t="inlineStr">
        <is>
          <t>SC House District 57</t>
        </is>
      </c>
      <c r="C58" s="16" t="inlineStr">
        <is>
          <t>House</t>
        </is>
      </c>
      <c r="D58" s="16" t="n">
        <v>57</v>
      </c>
      <c r="E58" s="16" t="inlineStr">
        <is>
          <t>Lucas Atkinson</t>
        </is>
      </c>
      <c r="F58" s="16" t="inlineStr">
        <is>
          <t>Democratic</t>
        </is>
      </c>
      <c r="G58" s="16" t="inlineStr"/>
      <c r="H58" s="16" t="n">
        <v>2026</v>
      </c>
      <c r="I58" s="16" t="inlineStr">
        <is>
          <t>Yes</t>
        </is>
      </c>
    </row>
    <row r="59">
      <c r="A59" s="17" t="inlineStr">
        <is>
          <t>SC-House-058</t>
        </is>
      </c>
      <c r="B59" s="17" t="inlineStr">
        <is>
          <t>SC House District 58</t>
        </is>
      </c>
      <c r="C59" s="17" t="inlineStr">
        <is>
          <t>House</t>
        </is>
      </c>
      <c r="D59" s="17" t="n">
        <v>58</v>
      </c>
      <c r="E59" s="17" t="inlineStr">
        <is>
          <t>Jeffrey E. "Jeff" Johnson</t>
        </is>
      </c>
      <c r="F59" s="17" t="inlineStr">
        <is>
          <t>Republican</t>
        </is>
      </c>
      <c r="G59" s="17" t="inlineStr"/>
      <c r="H59" s="17" t="n">
        <v>2026</v>
      </c>
      <c r="I59" s="17" t="inlineStr">
        <is>
          <t>Yes</t>
        </is>
      </c>
    </row>
    <row r="60">
      <c r="A60" s="16" t="inlineStr">
        <is>
          <t>SC-House-059</t>
        </is>
      </c>
      <c r="B60" s="16" t="inlineStr">
        <is>
          <t>SC House District 59</t>
        </is>
      </c>
      <c r="C60" s="16" t="inlineStr">
        <is>
          <t>House</t>
        </is>
      </c>
      <c r="D60" s="16" t="n">
        <v>59</v>
      </c>
      <c r="E60" s="16" t="inlineStr">
        <is>
          <t>Terry Alexander</t>
        </is>
      </c>
      <c r="F60" s="16" t="inlineStr">
        <is>
          <t>Democratic</t>
        </is>
      </c>
      <c r="G60" s="16" t="inlineStr"/>
      <c r="H60" s="16" t="n">
        <v>2026</v>
      </c>
      <c r="I60" s="16" t="inlineStr">
        <is>
          <t>Yes</t>
        </is>
      </c>
    </row>
    <row r="61">
      <c r="A61" s="17" t="inlineStr">
        <is>
          <t>SC-House-060</t>
        </is>
      </c>
      <c r="B61" s="17" t="inlineStr">
        <is>
          <t>SC House District 60</t>
        </is>
      </c>
      <c r="C61" s="17" t="inlineStr">
        <is>
          <t>House</t>
        </is>
      </c>
      <c r="D61" s="17" t="n">
        <v>60</v>
      </c>
      <c r="E61" s="17" t="inlineStr">
        <is>
          <t>Phillip D. Lowe</t>
        </is>
      </c>
      <c r="F61" s="17" t="inlineStr">
        <is>
          <t>Republican</t>
        </is>
      </c>
      <c r="G61" s="17" t="inlineStr"/>
      <c r="H61" s="17" t="n">
        <v>2026</v>
      </c>
      <c r="I61" s="17" t="inlineStr">
        <is>
          <t>Yes</t>
        </is>
      </c>
    </row>
    <row r="62">
      <c r="A62" s="16" t="inlineStr">
        <is>
          <t>SC-House-061</t>
        </is>
      </c>
      <c r="B62" s="16" t="inlineStr">
        <is>
          <t>SC House District 61</t>
        </is>
      </c>
      <c r="C62" s="16" t="inlineStr">
        <is>
          <t>House</t>
        </is>
      </c>
      <c r="D62" s="16" t="n">
        <v>61</v>
      </c>
      <c r="E62" s="16" t="inlineStr">
        <is>
          <t>Carla Schuessler</t>
        </is>
      </c>
      <c r="F62" s="16" t="inlineStr">
        <is>
          <t>Republican</t>
        </is>
      </c>
      <c r="G62" s="16" t="inlineStr"/>
      <c r="H62" s="16" t="n">
        <v>2026</v>
      </c>
      <c r="I62" s="16" t="inlineStr">
        <is>
          <t>Yes</t>
        </is>
      </c>
    </row>
    <row r="63">
      <c r="A63" s="17" t="inlineStr">
        <is>
          <t>SC-House-062</t>
        </is>
      </c>
      <c r="B63" s="17" t="inlineStr">
        <is>
          <t>SC House District 62</t>
        </is>
      </c>
      <c r="C63" s="17" t="inlineStr">
        <is>
          <t>House</t>
        </is>
      </c>
      <c r="D63" s="17" t="n">
        <v>62</v>
      </c>
      <c r="E63" s="17" t="inlineStr">
        <is>
          <t>Robert Q. Williams</t>
        </is>
      </c>
      <c r="F63" s="17" t="inlineStr">
        <is>
          <t>Democratic</t>
        </is>
      </c>
      <c r="G63" s="17" t="inlineStr"/>
      <c r="H63" s="17" t="n">
        <v>2026</v>
      </c>
      <c r="I63" s="17" t="inlineStr">
        <is>
          <t>Yes</t>
        </is>
      </c>
    </row>
    <row r="64">
      <c r="A64" s="16" t="inlineStr">
        <is>
          <t>SC-House-063</t>
        </is>
      </c>
      <c r="B64" s="16" t="inlineStr">
        <is>
          <t>SC House District 63</t>
        </is>
      </c>
      <c r="C64" s="16" t="inlineStr">
        <is>
          <t>House</t>
        </is>
      </c>
      <c r="D64" s="16" t="n">
        <v>63</v>
      </c>
      <c r="E64" s="16" t="inlineStr">
        <is>
          <t>Wallace H. "Jay" Jordan, Jr.</t>
        </is>
      </c>
      <c r="F64" s="16" t="inlineStr">
        <is>
          <t>Republican</t>
        </is>
      </c>
      <c r="G64" s="16" t="inlineStr"/>
      <c r="H64" s="16" t="n">
        <v>2026</v>
      </c>
      <c r="I64" s="16" t="inlineStr">
        <is>
          <t>Yes</t>
        </is>
      </c>
    </row>
    <row r="65">
      <c r="A65" s="17" t="inlineStr">
        <is>
          <t>SC-House-064</t>
        </is>
      </c>
      <c r="B65" s="17" t="inlineStr">
        <is>
          <t>SC House District 64</t>
        </is>
      </c>
      <c r="C65" s="17" t="inlineStr">
        <is>
          <t>House</t>
        </is>
      </c>
      <c r="D65" s="17" t="n">
        <v>64</v>
      </c>
      <c r="E65" s="17" t="inlineStr">
        <is>
          <t>Fawn M. Pedalino</t>
        </is>
      </c>
      <c r="F65" s="17" t="inlineStr">
        <is>
          <t>Republican</t>
        </is>
      </c>
      <c r="G65" s="17" t="inlineStr"/>
      <c r="H65" s="17" t="n">
        <v>2026</v>
      </c>
      <c r="I65" s="17" t="inlineStr">
        <is>
          <t>Yes</t>
        </is>
      </c>
    </row>
    <row r="66">
      <c r="A66" s="16" t="inlineStr">
        <is>
          <t>SC-House-065</t>
        </is>
      </c>
      <c r="B66" s="16" t="inlineStr">
        <is>
          <t>SC House District 65</t>
        </is>
      </c>
      <c r="C66" s="16" t="inlineStr">
        <is>
          <t>House</t>
        </is>
      </c>
      <c r="D66" s="16" t="n">
        <v>65</v>
      </c>
      <c r="E66" s="16" t="inlineStr">
        <is>
          <t>Cody T. Mitchell</t>
        </is>
      </c>
      <c r="F66" s="16" t="inlineStr">
        <is>
          <t>Republican</t>
        </is>
      </c>
      <c r="G66" s="16" t="inlineStr"/>
      <c r="H66" s="16" t="n">
        <v>2026</v>
      </c>
      <c r="I66" s="16" t="inlineStr">
        <is>
          <t>Yes</t>
        </is>
      </c>
    </row>
    <row r="67">
      <c r="A67" s="17" t="inlineStr">
        <is>
          <t>SC-House-066</t>
        </is>
      </c>
      <c r="B67" s="17" t="inlineStr">
        <is>
          <t>SC House District 66</t>
        </is>
      </c>
      <c r="C67" s="17" t="inlineStr">
        <is>
          <t>House</t>
        </is>
      </c>
      <c r="D67" s="17" t="n">
        <v>66</v>
      </c>
      <c r="E67" s="17" t="inlineStr">
        <is>
          <t>Jackie R. Terribile</t>
        </is>
      </c>
      <c r="F67" s="17" t="inlineStr">
        <is>
          <t>Republican</t>
        </is>
      </c>
      <c r="G67" s="17" t="inlineStr"/>
      <c r="H67" s="17" t="n">
        <v>2026</v>
      </c>
      <c r="I67" s="17" t="inlineStr">
        <is>
          <t>Yes</t>
        </is>
      </c>
    </row>
    <row r="68">
      <c r="A68" s="16" t="inlineStr">
        <is>
          <t>SC-House-067</t>
        </is>
      </c>
      <c r="B68" s="16" t="inlineStr">
        <is>
          <t>SC House District 67</t>
        </is>
      </c>
      <c r="C68" s="16" t="inlineStr">
        <is>
          <t>House</t>
        </is>
      </c>
      <c r="D68" s="16" t="n">
        <v>67</v>
      </c>
      <c r="E68" s="16" t="inlineStr">
        <is>
          <t>G. Murrell Smith, Jr.</t>
        </is>
      </c>
      <c r="F68" s="16" t="inlineStr">
        <is>
          <t>Republican</t>
        </is>
      </c>
      <c r="G68" s="16" t="inlineStr"/>
      <c r="H68" s="16" t="n">
        <v>2026</v>
      </c>
      <c r="I68" s="16" t="inlineStr">
        <is>
          <t>Yes</t>
        </is>
      </c>
    </row>
    <row r="69">
      <c r="A69" s="17" t="inlineStr">
        <is>
          <t>SC-House-068</t>
        </is>
      </c>
      <c r="B69" s="17" t="inlineStr">
        <is>
          <t>SC House District 68</t>
        </is>
      </c>
      <c r="C69" s="17" t="inlineStr">
        <is>
          <t>House</t>
        </is>
      </c>
      <c r="D69" s="17" t="n">
        <v>68</v>
      </c>
      <c r="E69" s="17" t="inlineStr">
        <is>
          <t>Heather Ammons Crawford</t>
        </is>
      </c>
      <c r="F69" s="17" t="inlineStr">
        <is>
          <t>Republican</t>
        </is>
      </c>
      <c r="G69" s="17" t="inlineStr"/>
      <c r="H69" s="17" t="n">
        <v>2026</v>
      </c>
      <c r="I69" s="17" t="inlineStr">
        <is>
          <t>Yes</t>
        </is>
      </c>
    </row>
    <row r="70">
      <c r="A70" s="16" t="inlineStr">
        <is>
          <t>SC-House-069</t>
        </is>
      </c>
      <c r="B70" s="16" t="inlineStr">
        <is>
          <t>SC House District 69</t>
        </is>
      </c>
      <c r="C70" s="16" t="inlineStr">
        <is>
          <t>House</t>
        </is>
      </c>
      <c r="D70" s="16" t="n">
        <v>69</v>
      </c>
      <c r="E70" s="16" t="inlineStr">
        <is>
          <t>Chris Wooten</t>
        </is>
      </c>
      <c r="F70" s="16" t="inlineStr">
        <is>
          <t>Republican</t>
        </is>
      </c>
      <c r="G70" s="16" t="inlineStr"/>
      <c r="H70" s="16" t="n">
        <v>2026</v>
      </c>
      <c r="I70" s="16" t="inlineStr">
        <is>
          <t>Yes</t>
        </is>
      </c>
    </row>
    <row r="71">
      <c r="A71" s="17" t="inlineStr">
        <is>
          <t>SC-House-070</t>
        </is>
      </c>
      <c r="B71" s="17" t="inlineStr">
        <is>
          <t>SC House District 70</t>
        </is>
      </c>
      <c r="C71" s="17" t="inlineStr">
        <is>
          <t>House</t>
        </is>
      </c>
      <c r="D71" s="17" t="n">
        <v>70</v>
      </c>
      <c r="E71" s="17" t="inlineStr">
        <is>
          <t>Robert T. Reese</t>
        </is>
      </c>
      <c r="F71" s="17" t="inlineStr">
        <is>
          <t>Democratic</t>
        </is>
      </c>
      <c r="G71" s="17" t="inlineStr"/>
      <c r="H71" s="17" t="n">
        <v>2026</v>
      </c>
      <c r="I71" s="17" t="inlineStr">
        <is>
          <t>Yes</t>
        </is>
      </c>
    </row>
    <row r="72">
      <c r="A72" s="16" t="inlineStr">
        <is>
          <t>SC-House-071</t>
        </is>
      </c>
      <c r="B72" s="16" t="inlineStr">
        <is>
          <t>SC House District 71</t>
        </is>
      </c>
      <c r="C72" s="16" t="inlineStr">
        <is>
          <t>House</t>
        </is>
      </c>
      <c r="D72" s="16" t="n">
        <v>71</v>
      </c>
      <c r="E72" s="16" t="inlineStr">
        <is>
          <t>Nathan Ballentine</t>
        </is>
      </c>
      <c r="F72" s="16" t="inlineStr">
        <is>
          <t>Republican</t>
        </is>
      </c>
      <c r="G72" s="16" t="inlineStr"/>
      <c r="H72" s="16" t="n">
        <v>2026</v>
      </c>
      <c r="I72" s="16" t="inlineStr">
        <is>
          <t>Yes</t>
        </is>
      </c>
    </row>
    <row r="73">
      <c r="A73" s="17" t="inlineStr">
        <is>
          <t>SC-House-072</t>
        </is>
      </c>
      <c r="B73" s="17" t="inlineStr">
        <is>
          <t>SC House District 72</t>
        </is>
      </c>
      <c r="C73" s="17" t="inlineStr">
        <is>
          <t>House</t>
        </is>
      </c>
      <c r="D73" s="17" t="n">
        <v>72</v>
      </c>
      <c r="E73" s="17" t="inlineStr">
        <is>
          <t>Seth Rose</t>
        </is>
      </c>
      <c r="F73" s="17" t="inlineStr">
        <is>
          <t>Democratic</t>
        </is>
      </c>
      <c r="G73" s="17" t="inlineStr"/>
      <c r="H73" s="17" t="n">
        <v>2026</v>
      </c>
      <c r="I73" s="17" t="inlineStr">
        <is>
          <t>Yes</t>
        </is>
      </c>
    </row>
    <row r="74">
      <c r="A74" s="16" t="inlineStr">
        <is>
          <t>SC-House-073</t>
        </is>
      </c>
      <c r="B74" s="16" t="inlineStr">
        <is>
          <t>SC House District 73</t>
        </is>
      </c>
      <c r="C74" s="16" t="inlineStr">
        <is>
          <t>House</t>
        </is>
      </c>
      <c r="D74" s="16" t="n">
        <v>73</v>
      </c>
      <c r="E74" s="16" t="inlineStr">
        <is>
          <t>Christopher R. "Chris" Hart</t>
        </is>
      </c>
      <c r="F74" s="16" t="inlineStr">
        <is>
          <t>Democratic</t>
        </is>
      </c>
      <c r="G74" s="16" t="inlineStr"/>
      <c r="H74" s="16" t="n">
        <v>2026</v>
      </c>
      <c r="I74" s="16" t="inlineStr">
        <is>
          <t>Yes</t>
        </is>
      </c>
    </row>
    <row r="75">
      <c r="A75" s="17" t="inlineStr">
        <is>
          <t>SC-House-074</t>
        </is>
      </c>
      <c r="B75" s="17" t="inlineStr">
        <is>
          <t>SC House District 74</t>
        </is>
      </c>
      <c r="C75" s="17" t="inlineStr">
        <is>
          <t>House</t>
        </is>
      </c>
      <c r="D75" s="17" t="n">
        <v>74</v>
      </c>
      <c r="E75" s="17" t="inlineStr">
        <is>
          <t>J. Todd Rutherford</t>
        </is>
      </c>
      <c r="F75" s="17" t="inlineStr">
        <is>
          <t>Democratic</t>
        </is>
      </c>
      <c r="G75" s="17" t="inlineStr"/>
      <c r="H75" s="17" t="n">
        <v>2026</v>
      </c>
      <c r="I75" s="17" t="inlineStr">
        <is>
          <t>Yes</t>
        </is>
      </c>
    </row>
    <row r="76">
      <c r="A76" s="16" t="inlineStr">
        <is>
          <t>SC-House-075</t>
        </is>
      </c>
      <c r="B76" s="16" t="inlineStr">
        <is>
          <t>SC House District 75</t>
        </is>
      </c>
      <c r="C76" s="16" t="inlineStr">
        <is>
          <t>House</t>
        </is>
      </c>
      <c r="D76" s="16" t="n">
        <v>75</v>
      </c>
      <c r="E76" s="16" t="inlineStr">
        <is>
          <t>Heather Bauer</t>
        </is>
      </c>
      <c r="F76" s="16" t="inlineStr">
        <is>
          <t>Democratic</t>
        </is>
      </c>
      <c r="G76" s="16" t="inlineStr"/>
      <c r="H76" s="16" t="n">
        <v>2026</v>
      </c>
      <c r="I76" s="16" t="inlineStr">
        <is>
          <t>Yes</t>
        </is>
      </c>
    </row>
    <row r="77">
      <c r="A77" s="17" t="inlineStr">
        <is>
          <t>SC-House-076</t>
        </is>
      </c>
      <c r="B77" s="17" t="inlineStr">
        <is>
          <t>SC House District 76</t>
        </is>
      </c>
      <c r="C77" s="17" t="inlineStr">
        <is>
          <t>House</t>
        </is>
      </c>
      <c r="D77" s="17" t="n">
        <v>76</v>
      </c>
      <c r="E77" s="17" t="inlineStr">
        <is>
          <t>Leon Howard</t>
        </is>
      </c>
      <c r="F77" s="17" t="inlineStr">
        <is>
          <t>Democratic</t>
        </is>
      </c>
      <c r="G77" s="17" t="inlineStr"/>
      <c r="H77" s="17" t="n">
        <v>2026</v>
      </c>
      <c r="I77" s="17" t="inlineStr">
        <is>
          <t>Yes</t>
        </is>
      </c>
    </row>
    <row r="78">
      <c r="A78" s="16" t="inlineStr">
        <is>
          <t>SC-House-077</t>
        </is>
      </c>
      <c r="B78" s="16" t="inlineStr">
        <is>
          <t>SC House District 77</t>
        </is>
      </c>
      <c r="C78" s="16" t="inlineStr">
        <is>
          <t>House</t>
        </is>
      </c>
      <c r="D78" s="16" t="n">
        <v>77</v>
      </c>
      <c r="E78" s="16" t="inlineStr">
        <is>
          <t>Kambrell H. Garvin</t>
        </is>
      </c>
      <c r="F78" s="16" t="inlineStr">
        <is>
          <t>Democratic</t>
        </is>
      </c>
      <c r="G78" s="16" t="inlineStr"/>
      <c r="H78" s="16" t="n">
        <v>2026</v>
      </c>
      <c r="I78" s="16" t="inlineStr">
        <is>
          <t>Yes</t>
        </is>
      </c>
    </row>
    <row r="79">
      <c r="A79" s="17" t="inlineStr">
        <is>
          <t>SC-House-078</t>
        </is>
      </c>
      <c r="B79" s="17" t="inlineStr">
        <is>
          <t>SC House District 78</t>
        </is>
      </c>
      <c r="C79" s="17" t="inlineStr">
        <is>
          <t>House</t>
        </is>
      </c>
      <c r="D79" s="17" t="n">
        <v>78</v>
      </c>
      <c r="E79" s="17" t="inlineStr">
        <is>
          <t>Beth E. Bernstein</t>
        </is>
      </c>
      <c r="F79" s="17" t="inlineStr">
        <is>
          <t>Democratic</t>
        </is>
      </c>
      <c r="G79" s="17" t="inlineStr"/>
      <c r="H79" s="17" t="n">
        <v>2026</v>
      </c>
      <c r="I79" s="17" t="inlineStr">
        <is>
          <t>Yes</t>
        </is>
      </c>
    </row>
    <row r="80">
      <c r="A80" s="16" t="inlineStr">
        <is>
          <t>SC-House-079</t>
        </is>
      </c>
      <c r="B80" s="16" t="inlineStr">
        <is>
          <t>SC House District 79</t>
        </is>
      </c>
      <c r="C80" s="16" t="inlineStr">
        <is>
          <t>House</t>
        </is>
      </c>
      <c r="D80" s="16" t="n">
        <v>79</v>
      </c>
      <c r="E80" s="16" t="inlineStr">
        <is>
          <t>Hamilton R. Grant</t>
        </is>
      </c>
      <c r="F80" s="16" t="inlineStr">
        <is>
          <t>Democratic</t>
        </is>
      </c>
      <c r="G80" s="16" t="inlineStr"/>
      <c r="H80" s="16" t="n">
        <v>2026</v>
      </c>
      <c r="I80" s="16" t="inlineStr">
        <is>
          <t>Yes</t>
        </is>
      </c>
    </row>
    <row r="81">
      <c r="A81" s="17" t="inlineStr">
        <is>
          <t>SC-House-080</t>
        </is>
      </c>
      <c r="B81" s="17" t="inlineStr">
        <is>
          <t>SC House District 80</t>
        </is>
      </c>
      <c r="C81" s="17" t="inlineStr">
        <is>
          <t>House</t>
        </is>
      </c>
      <c r="D81" s="17" t="n">
        <v>80</v>
      </c>
      <c r="E81" s="17" t="inlineStr">
        <is>
          <t>Kathy Landing</t>
        </is>
      </c>
      <c r="F81" s="17" t="inlineStr">
        <is>
          <t>Republican</t>
        </is>
      </c>
      <c r="G81" s="17" t="inlineStr"/>
      <c r="H81" s="17" t="n">
        <v>2026</v>
      </c>
      <c r="I81" s="17" t="inlineStr">
        <is>
          <t>Yes</t>
        </is>
      </c>
    </row>
    <row r="82">
      <c r="A82" s="16" t="inlineStr">
        <is>
          <t>SC-House-081</t>
        </is>
      </c>
      <c r="B82" s="16" t="inlineStr">
        <is>
          <t>SC House District 81</t>
        </is>
      </c>
      <c r="C82" s="16" t="inlineStr">
        <is>
          <t>House</t>
        </is>
      </c>
      <c r="D82" s="16" t="n">
        <v>81</v>
      </c>
      <c r="E82" s="16" t="inlineStr">
        <is>
          <t>Charles V. Hartz</t>
        </is>
      </c>
      <c r="F82" s="16" t="inlineStr">
        <is>
          <t>Republican</t>
        </is>
      </c>
      <c r="G82" s="16" t="inlineStr"/>
      <c r="H82" s="16" t="n">
        <v>2026</v>
      </c>
      <c r="I82" s="16" t="inlineStr">
        <is>
          <t>Yes</t>
        </is>
      </c>
    </row>
    <row r="83">
      <c r="A83" s="17" t="inlineStr">
        <is>
          <t>SC-House-082</t>
        </is>
      </c>
      <c r="B83" s="17" t="inlineStr">
        <is>
          <t>SC House District 82</t>
        </is>
      </c>
      <c r="C83" s="17" t="inlineStr">
        <is>
          <t>House</t>
        </is>
      </c>
      <c r="D83" s="17" t="n">
        <v>82</v>
      </c>
      <c r="E83" s="17" t="inlineStr">
        <is>
          <t>William "Bill" Clyburn</t>
        </is>
      </c>
      <c r="F83" s="17" t="inlineStr">
        <is>
          <t>Democratic</t>
        </is>
      </c>
      <c r="G83" s="17" t="inlineStr"/>
      <c r="H83" s="17" t="n">
        <v>2026</v>
      </c>
      <c r="I83" s="17" t="inlineStr">
        <is>
          <t>Yes</t>
        </is>
      </c>
    </row>
    <row r="84">
      <c r="A84" s="16" t="inlineStr">
        <is>
          <t>SC-House-083</t>
        </is>
      </c>
      <c r="B84" s="16" t="inlineStr">
        <is>
          <t>SC House District 83</t>
        </is>
      </c>
      <c r="C84" s="16" t="inlineStr">
        <is>
          <t>House</t>
        </is>
      </c>
      <c r="D84" s="16" t="n">
        <v>83</v>
      </c>
      <c r="E84" s="16" t="inlineStr">
        <is>
          <t>William M. "Bill" Hixon</t>
        </is>
      </c>
      <c r="F84" s="16" t="inlineStr">
        <is>
          <t>Republican</t>
        </is>
      </c>
      <c r="G84" s="16" t="inlineStr"/>
      <c r="H84" s="16" t="n">
        <v>2026</v>
      </c>
      <c r="I84" s="16" t="inlineStr">
        <is>
          <t>Yes</t>
        </is>
      </c>
    </row>
    <row r="85">
      <c r="A85" s="17" t="inlineStr">
        <is>
          <t>SC-House-084</t>
        </is>
      </c>
      <c r="B85" s="17" t="inlineStr">
        <is>
          <t>SC House District 84</t>
        </is>
      </c>
      <c r="C85" s="17" t="inlineStr">
        <is>
          <t>House</t>
        </is>
      </c>
      <c r="D85" s="17" t="n">
        <v>84</v>
      </c>
      <c r="E85" s="17" t="inlineStr">
        <is>
          <t>Melissa Lackey Oremus</t>
        </is>
      </c>
      <c r="F85" s="17" t="inlineStr">
        <is>
          <t>Republican</t>
        </is>
      </c>
      <c r="G85" s="17" t="inlineStr"/>
      <c r="H85" s="17" t="n">
        <v>2026</v>
      </c>
      <c r="I85" s="17" t="inlineStr">
        <is>
          <t>Yes</t>
        </is>
      </c>
    </row>
    <row r="86">
      <c r="A86" s="16" t="inlineStr">
        <is>
          <t>SC-House-085</t>
        </is>
      </c>
      <c r="B86" s="16" t="inlineStr">
        <is>
          <t>SC House District 85</t>
        </is>
      </c>
      <c r="C86" s="16" t="inlineStr">
        <is>
          <t>House</t>
        </is>
      </c>
      <c r="D86" s="16" t="n">
        <v>85</v>
      </c>
      <c r="E86" s="16" t="inlineStr">
        <is>
          <t>John Gregory "Jay" Kilmartin</t>
        </is>
      </c>
      <c r="F86" s="16" t="inlineStr">
        <is>
          <t>Republican</t>
        </is>
      </c>
      <c r="G86" s="16" t="inlineStr"/>
      <c r="H86" s="16" t="n">
        <v>2026</v>
      </c>
      <c r="I86" s="16" t="inlineStr">
        <is>
          <t>Yes</t>
        </is>
      </c>
    </row>
    <row r="87">
      <c r="A87" s="17" t="inlineStr">
        <is>
          <t>SC-House-086</t>
        </is>
      </c>
      <c r="B87" s="17" t="inlineStr">
        <is>
          <t>SC House District 86</t>
        </is>
      </c>
      <c r="C87" s="17" t="inlineStr">
        <is>
          <t>House</t>
        </is>
      </c>
      <c r="D87" s="17" t="n">
        <v>86</v>
      </c>
      <c r="E87" s="17" t="inlineStr">
        <is>
          <t>Bill Taylor</t>
        </is>
      </c>
      <c r="F87" s="17" t="inlineStr">
        <is>
          <t>Republican</t>
        </is>
      </c>
      <c r="G87" s="17" t="inlineStr"/>
      <c r="H87" s="17" t="n">
        <v>2026</v>
      </c>
      <c r="I87" s="17" t="inlineStr">
        <is>
          <t>Yes</t>
        </is>
      </c>
    </row>
    <row r="88">
      <c r="A88" s="16" t="inlineStr">
        <is>
          <t>SC-House-087</t>
        </is>
      </c>
      <c r="B88" s="16" t="inlineStr">
        <is>
          <t>SC House District 87</t>
        </is>
      </c>
      <c r="C88" s="16" t="inlineStr">
        <is>
          <t>House</t>
        </is>
      </c>
      <c r="D88" s="16" t="n">
        <v>87</v>
      </c>
      <c r="E88" s="16" t="inlineStr">
        <is>
          <t>Paula Rawl Calhoon</t>
        </is>
      </c>
      <c r="F88" s="16" t="inlineStr">
        <is>
          <t>Republican</t>
        </is>
      </c>
      <c r="G88" s="16" t="inlineStr"/>
      <c r="H88" s="16" t="n">
        <v>2026</v>
      </c>
      <c r="I88" s="16" t="inlineStr">
        <is>
          <t>Yes</t>
        </is>
      </c>
    </row>
    <row r="89">
      <c r="A89" s="17" t="inlineStr">
        <is>
          <t>SC-House-088</t>
        </is>
      </c>
      <c r="B89" s="17" t="inlineStr">
        <is>
          <t>SC House District 88</t>
        </is>
      </c>
      <c r="C89" s="17" t="inlineStr">
        <is>
          <t>House</t>
        </is>
      </c>
      <c r="D89" s="17" t="n">
        <v>88</v>
      </c>
      <c r="E89" s="17" t="inlineStr">
        <is>
          <t>John Lastinger</t>
        </is>
      </c>
      <c r="F89" s="17" t="inlineStr">
        <is>
          <t>Republican</t>
        </is>
      </c>
      <c r="G89" s="17" t="inlineStr"/>
      <c r="H89" s="17" t="n">
        <v>2026</v>
      </c>
      <c r="I89" s="17" t="inlineStr">
        <is>
          <t>Yes</t>
        </is>
      </c>
    </row>
    <row r="90">
      <c r="A90" s="16" t="inlineStr">
        <is>
          <t>SC-House-089</t>
        </is>
      </c>
      <c r="B90" s="16" t="inlineStr">
        <is>
          <t>SC House District 89</t>
        </is>
      </c>
      <c r="C90" s="16" t="inlineStr">
        <is>
          <t>House</t>
        </is>
      </c>
      <c r="D90" s="16" t="n">
        <v>89</v>
      </c>
      <c r="E90" s="16" t="inlineStr">
        <is>
          <t>Micajah P. "Micah" Caskey IV</t>
        </is>
      </c>
      <c r="F90" s="16" t="inlineStr">
        <is>
          <t>Republican</t>
        </is>
      </c>
      <c r="G90" s="16" t="inlineStr"/>
      <c r="H90" s="16" t="n">
        <v>2026</v>
      </c>
      <c r="I90" s="16" t="inlineStr">
        <is>
          <t>Yes</t>
        </is>
      </c>
    </row>
    <row r="91">
      <c r="A91" s="17" t="inlineStr">
        <is>
          <t>SC-House-090</t>
        </is>
      </c>
      <c r="B91" s="17" t="inlineStr">
        <is>
          <t>SC House District 90</t>
        </is>
      </c>
      <c r="C91" s="17" t="inlineStr">
        <is>
          <t>House</t>
        </is>
      </c>
      <c r="D91" s="17" t="n">
        <v>90</v>
      </c>
      <c r="E91" s="17" t="inlineStr">
        <is>
          <t>Justin T. Bamberg</t>
        </is>
      </c>
      <c r="F91" s="17" t="inlineStr">
        <is>
          <t>Democratic</t>
        </is>
      </c>
      <c r="G91" s="17" t="inlineStr"/>
      <c r="H91" s="17" t="n">
        <v>2026</v>
      </c>
      <c r="I91" s="17" t="inlineStr">
        <is>
          <t>Yes</t>
        </is>
      </c>
    </row>
    <row r="92">
      <c r="A92" s="16" t="inlineStr">
        <is>
          <t>SC-House-091</t>
        </is>
      </c>
      <c r="B92" s="16" t="inlineStr">
        <is>
          <t>SC House District 91</t>
        </is>
      </c>
      <c r="C92" s="16" t="inlineStr">
        <is>
          <t>House</t>
        </is>
      </c>
      <c r="D92" s="16" t="n">
        <v>91</v>
      </c>
      <c r="E92" s="16" t="inlineStr">
        <is>
          <t>Lonnie Hosey</t>
        </is>
      </c>
      <c r="F92" s="16" t="inlineStr">
        <is>
          <t>Democratic</t>
        </is>
      </c>
      <c r="G92" s="16" t="inlineStr"/>
      <c r="H92" s="16" t="n">
        <v>2026</v>
      </c>
      <c r="I92" s="16" t="inlineStr">
        <is>
          <t>Yes</t>
        </is>
      </c>
    </row>
    <row r="93">
      <c r="A93" s="17" t="inlineStr">
        <is>
          <t>SC-House-092</t>
        </is>
      </c>
      <c r="B93" s="17" t="inlineStr">
        <is>
          <t>SC House District 92</t>
        </is>
      </c>
      <c r="C93" s="17" t="inlineStr">
        <is>
          <t>House</t>
        </is>
      </c>
      <c r="D93" s="17" t="n">
        <v>92</v>
      </c>
      <c r="E93" s="17" t="inlineStr">
        <is>
          <t>Brandon L. Cox</t>
        </is>
      </c>
      <c r="F93" s="17" t="inlineStr">
        <is>
          <t>Republican</t>
        </is>
      </c>
      <c r="G93" s="17" t="inlineStr"/>
      <c r="H93" s="17" t="n">
        <v>2026</v>
      </c>
      <c r="I93" s="17" t="inlineStr">
        <is>
          <t>Yes</t>
        </is>
      </c>
    </row>
    <row r="94">
      <c r="A94" s="16" t="inlineStr">
        <is>
          <t>SC-House-093</t>
        </is>
      </c>
      <c r="B94" s="16" t="inlineStr">
        <is>
          <t>SC House District 93</t>
        </is>
      </c>
      <c r="C94" s="16" t="inlineStr">
        <is>
          <t>House</t>
        </is>
      </c>
      <c r="D94" s="16" t="n">
        <v>93</v>
      </c>
      <c r="E94" s="16" t="inlineStr">
        <is>
          <t>Jerry N. Govan, Jr.</t>
        </is>
      </c>
      <c r="F94" s="16" t="inlineStr">
        <is>
          <t>Democratic</t>
        </is>
      </c>
      <c r="G94" s="16" t="inlineStr"/>
      <c r="H94" s="16" t="n">
        <v>2026</v>
      </c>
      <c r="I94" s="16" t="inlineStr">
        <is>
          <t>Yes</t>
        </is>
      </c>
    </row>
    <row r="95">
      <c r="A95" s="17" t="inlineStr">
        <is>
          <t>SC-House-094</t>
        </is>
      </c>
      <c r="B95" s="17" t="inlineStr">
        <is>
          <t>SC House District 94</t>
        </is>
      </c>
      <c r="C95" s="17" t="inlineStr">
        <is>
          <t>House</t>
        </is>
      </c>
      <c r="D95" s="17" t="n">
        <v>94</v>
      </c>
      <c r="E95" s="17" t="inlineStr">
        <is>
          <t>Gil Gatch</t>
        </is>
      </c>
      <c r="F95" s="17" t="inlineStr">
        <is>
          <t>Republican</t>
        </is>
      </c>
      <c r="G95" s="17" t="inlineStr"/>
      <c r="H95" s="17" t="n">
        <v>2026</v>
      </c>
      <c r="I95" s="17" t="inlineStr">
        <is>
          <t>Yes</t>
        </is>
      </c>
    </row>
    <row r="96">
      <c r="A96" s="16" t="inlineStr">
        <is>
          <t>SC-House-095</t>
        </is>
      </c>
      <c r="B96" s="16" t="inlineStr">
        <is>
          <t>SC House District 95</t>
        </is>
      </c>
      <c r="C96" s="16" t="inlineStr">
        <is>
          <t>House</t>
        </is>
      </c>
      <c r="D96" s="16" t="n">
        <v>95</v>
      </c>
      <c r="E96" s="16" t="inlineStr">
        <is>
          <t>Gilda Cobb-Hunter</t>
        </is>
      </c>
      <c r="F96" s="16" t="inlineStr">
        <is>
          <t>Democratic</t>
        </is>
      </c>
      <c r="G96" s="16" t="inlineStr"/>
      <c r="H96" s="16" t="n">
        <v>2026</v>
      </c>
      <c r="I96" s="16" t="inlineStr">
        <is>
          <t>Yes</t>
        </is>
      </c>
    </row>
    <row r="97">
      <c r="A97" s="17" t="inlineStr">
        <is>
          <t>SC-House-096</t>
        </is>
      </c>
      <c r="B97" s="17" t="inlineStr">
        <is>
          <t>SC House District 96</t>
        </is>
      </c>
      <c r="C97" s="17" t="inlineStr">
        <is>
          <t>House</t>
        </is>
      </c>
      <c r="D97" s="17" t="n">
        <v>96</v>
      </c>
      <c r="E97" s="17" t="inlineStr">
        <is>
          <t>Donald Ryan McCabe, Jr.</t>
        </is>
      </c>
      <c r="F97" s="17" t="inlineStr">
        <is>
          <t>Republican</t>
        </is>
      </c>
      <c r="G97" s="17" t="inlineStr"/>
      <c r="H97" s="17" t="n">
        <v>2026</v>
      </c>
      <c r="I97" s="17" t="inlineStr">
        <is>
          <t>Yes</t>
        </is>
      </c>
    </row>
    <row r="98">
      <c r="A98" s="16" t="inlineStr">
        <is>
          <t>SC-House-097</t>
        </is>
      </c>
      <c r="B98" s="16" t="inlineStr">
        <is>
          <t>SC House District 97</t>
        </is>
      </c>
      <c r="C98" s="16" t="inlineStr">
        <is>
          <t>House</t>
        </is>
      </c>
      <c r="D98" s="16" t="n">
        <v>97</v>
      </c>
      <c r="E98" s="16" t="inlineStr">
        <is>
          <t>Robby Robbins</t>
        </is>
      </c>
      <c r="F98" s="16" t="inlineStr">
        <is>
          <t>Republican</t>
        </is>
      </c>
      <c r="G98" s="16" t="inlineStr"/>
      <c r="H98" s="16" t="n">
        <v>2026</v>
      </c>
      <c r="I98" s="16" t="inlineStr">
        <is>
          <t>Yes</t>
        </is>
      </c>
    </row>
    <row r="99">
      <c r="A99" s="17" t="inlineStr">
        <is>
          <t>SC-House-098</t>
        </is>
      </c>
      <c r="B99" s="17" t="inlineStr">
        <is>
          <t>SC House District 98</t>
        </is>
      </c>
      <c r="C99" s="17" t="inlineStr">
        <is>
          <t>House</t>
        </is>
      </c>
      <c r="D99" s="17" t="n">
        <v>98</v>
      </c>
      <c r="E99" s="17" t="inlineStr"/>
      <c r="F99" s="17" t="inlineStr"/>
      <c r="G99" s="17" t="inlineStr"/>
      <c r="H99" s="17" t="n">
        <v>2026</v>
      </c>
      <c r="I99" s="17" t="inlineStr">
        <is>
          <t>Yes</t>
        </is>
      </c>
    </row>
    <row r="100">
      <c r="A100" s="16" t="inlineStr">
        <is>
          <t>SC-House-099</t>
        </is>
      </c>
      <c r="B100" s="16" t="inlineStr">
        <is>
          <t>SC House District 99</t>
        </is>
      </c>
      <c r="C100" s="16" t="inlineStr">
        <is>
          <t>House</t>
        </is>
      </c>
      <c r="D100" s="16" t="n">
        <v>99</v>
      </c>
      <c r="E100" s="16" t="inlineStr">
        <is>
          <t>Marvin "Mark" Smith</t>
        </is>
      </c>
      <c r="F100" s="16" t="inlineStr">
        <is>
          <t>Republican</t>
        </is>
      </c>
      <c r="G100" s="16" t="inlineStr"/>
      <c r="H100" s="16" t="n">
        <v>2026</v>
      </c>
      <c r="I100" s="16" t="inlineStr">
        <is>
          <t>Yes</t>
        </is>
      </c>
    </row>
    <row r="101">
      <c r="A101" s="17" t="inlineStr">
        <is>
          <t>SC-House-100</t>
        </is>
      </c>
      <c r="B101" s="17" t="inlineStr">
        <is>
          <t>SC House District 100</t>
        </is>
      </c>
      <c r="C101" s="17" t="inlineStr">
        <is>
          <t>House</t>
        </is>
      </c>
      <c r="D101" s="17" t="n">
        <v>100</v>
      </c>
      <c r="E101" s="17" t="inlineStr">
        <is>
          <t>Sylleste H. Davis</t>
        </is>
      </c>
      <c r="F101" s="17" t="inlineStr">
        <is>
          <t>Republican</t>
        </is>
      </c>
      <c r="G101" s="17" t="inlineStr"/>
      <c r="H101" s="17" t="n">
        <v>2026</v>
      </c>
      <c r="I101" s="17" t="inlineStr">
        <is>
          <t>Yes</t>
        </is>
      </c>
    </row>
    <row r="102">
      <c r="A102" s="16" t="inlineStr">
        <is>
          <t>SC-House-101</t>
        </is>
      </c>
      <c r="B102" s="16" t="inlineStr">
        <is>
          <t>SC House District 101</t>
        </is>
      </c>
      <c r="C102" s="16" t="inlineStr">
        <is>
          <t>House</t>
        </is>
      </c>
      <c r="D102" s="16" t="n">
        <v>101</v>
      </c>
      <c r="E102" s="16" t="inlineStr">
        <is>
          <t>Roger K. Kirby</t>
        </is>
      </c>
      <c r="F102" s="16" t="inlineStr">
        <is>
          <t>Democratic</t>
        </is>
      </c>
      <c r="G102" s="16" t="inlineStr"/>
      <c r="H102" s="16" t="n">
        <v>2026</v>
      </c>
      <c r="I102" s="16" t="inlineStr">
        <is>
          <t>Yes</t>
        </is>
      </c>
    </row>
    <row r="103">
      <c r="A103" s="17" t="inlineStr">
        <is>
          <t>SC-House-102</t>
        </is>
      </c>
      <c r="B103" s="17" t="inlineStr">
        <is>
          <t>SC House District 102</t>
        </is>
      </c>
      <c r="C103" s="17" t="inlineStr">
        <is>
          <t>House</t>
        </is>
      </c>
      <c r="D103" s="17" t="n">
        <v>102</v>
      </c>
      <c r="E103" s="17" t="inlineStr">
        <is>
          <t>Harriet A. Holman</t>
        </is>
      </c>
      <c r="F103" s="17" t="inlineStr">
        <is>
          <t>Republican</t>
        </is>
      </c>
      <c r="G103" s="17" t="inlineStr"/>
      <c r="H103" s="17" t="n">
        <v>2026</v>
      </c>
      <c r="I103" s="17" t="inlineStr">
        <is>
          <t>Yes</t>
        </is>
      </c>
    </row>
    <row r="104">
      <c r="A104" s="16" t="inlineStr">
        <is>
          <t>SC-House-103</t>
        </is>
      </c>
      <c r="B104" s="16" t="inlineStr">
        <is>
          <t>SC House District 103</t>
        </is>
      </c>
      <c r="C104" s="16" t="inlineStr">
        <is>
          <t>House</t>
        </is>
      </c>
      <c r="D104" s="16" t="n">
        <v>103</v>
      </c>
      <c r="E104" s="16" t="inlineStr">
        <is>
          <t>Carl L. Anderson</t>
        </is>
      </c>
      <c r="F104" s="16" t="inlineStr">
        <is>
          <t>Democratic</t>
        </is>
      </c>
      <c r="G104" s="16" t="inlineStr"/>
      <c r="H104" s="16" t="n">
        <v>2026</v>
      </c>
      <c r="I104" s="16" t="inlineStr">
        <is>
          <t>Yes</t>
        </is>
      </c>
    </row>
    <row r="105">
      <c r="A105" s="17" t="inlineStr">
        <is>
          <t>SC-House-104</t>
        </is>
      </c>
      <c r="B105" s="17" t="inlineStr">
        <is>
          <t>SC House District 104</t>
        </is>
      </c>
      <c r="C105" s="17" t="inlineStr">
        <is>
          <t>House</t>
        </is>
      </c>
      <c r="D105" s="17" t="n">
        <v>104</v>
      </c>
      <c r="E105" s="17" t="inlineStr">
        <is>
          <t>William H. Bailey</t>
        </is>
      </c>
      <c r="F105" s="17" t="inlineStr">
        <is>
          <t>Republican</t>
        </is>
      </c>
      <c r="G105" s="17" t="inlineStr"/>
      <c r="H105" s="17" t="n">
        <v>2026</v>
      </c>
      <c r="I105" s="17" t="inlineStr">
        <is>
          <t>Yes</t>
        </is>
      </c>
    </row>
    <row r="106">
      <c r="A106" s="16" t="inlineStr">
        <is>
          <t>SC-House-105</t>
        </is>
      </c>
      <c r="B106" s="16" t="inlineStr">
        <is>
          <t>SC House District 105</t>
        </is>
      </c>
      <c r="C106" s="16" t="inlineStr">
        <is>
          <t>House</t>
        </is>
      </c>
      <c r="D106" s="16" t="n">
        <v>105</v>
      </c>
      <c r="E106" s="16" t="inlineStr">
        <is>
          <t>Kevin Hardee</t>
        </is>
      </c>
      <c r="F106" s="16" t="inlineStr">
        <is>
          <t>Republican</t>
        </is>
      </c>
      <c r="G106" s="16" t="inlineStr"/>
      <c r="H106" s="16" t="n">
        <v>2026</v>
      </c>
      <c r="I106" s="16" t="inlineStr">
        <is>
          <t>Yes</t>
        </is>
      </c>
    </row>
    <row r="107">
      <c r="A107" s="17" t="inlineStr">
        <is>
          <t>SC-House-106</t>
        </is>
      </c>
      <c r="B107" s="17" t="inlineStr">
        <is>
          <t>SC House District 106</t>
        </is>
      </c>
      <c r="C107" s="17" t="inlineStr">
        <is>
          <t>House</t>
        </is>
      </c>
      <c r="D107" s="17" t="n">
        <v>106</v>
      </c>
      <c r="E107" s="17" t="inlineStr">
        <is>
          <t>Thomas Duval "Val" Guest, Jr.</t>
        </is>
      </c>
      <c r="F107" s="17" t="inlineStr">
        <is>
          <t>Republican</t>
        </is>
      </c>
      <c r="G107" s="17" t="inlineStr"/>
      <c r="H107" s="17" t="n">
        <v>2026</v>
      </c>
      <c r="I107" s="17" t="inlineStr">
        <is>
          <t>Yes</t>
        </is>
      </c>
    </row>
    <row r="108">
      <c r="A108" s="16" t="inlineStr">
        <is>
          <t>SC-House-107</t>
        </is>
      </c>
      <c r="B108" s="16" t="inlineStr">
        <is>
          <t>SC House District 107</t>
        </is>
      </c>
      <c r="C108" s="16" t="inlineStr">
        <is>
          <t>House</t>
        </is>
      </c>
      <c r="D108" s="16" t="n">
        <v>107</v>
      </c>
      <c r="E108" s="16" t="inlineStr">
        <is>
          <t>Thomas C. "Case" Brittain, Jr.</t>
        </is>
      </c>
      <c r="F108" s="16" t="inlineStr">
        <is>
          <t>Republican</t>
        </is>
      </c>
      <c r="G108" s="16" t="inlineStr"/>
      <c r="H108" s="16" t="n">
        <v>2026</v>
      </c>
      <c r="I108" s="16" t="inlineStr">
        <is>
          <t>Yes</t>
        </is>
      </c>
    </row>
    <row r="109">
      <c r="A109" s="17" t="inlineStr">
        <is>
          <t>SC-House-108</t>
        </is>
      </c>
      <c r="B109" s="17" t="inlineStr">
        <is>
          <t>SC House District 108</t>
        </is>
      </c>
      <c r="C109" s="17" t="inlineStr">
        <is>
          <t>House</t>
        </is>
      </c>
      <c r="D109" s="17" t="n">
        <v>108</v>
      </c>
      <c r="E109" s="17" t="inlineStr">
        <is>
          <t>Lee Hewitt</t>
        </is>
      </c>
      <c r="F109" s="17" t="inlineStr">
        <is>
          <t>Republican</t>
        </is>
      </c>
      <c r="G109" s="17" t="inlineStr"/>
      <c r="H109" s="17" t="n">
        <v>2026</v>
      </c>
      <c r="I109" s="17" t="inlineStr">
        <is>
          <t>Yes</t>
        </is>
      </c>
    </row>
    <row r="110">
      <c r="A110" s="16" t="inlineStr">
        <is>
          <t>SC-House-109</t>
        </is>
      </c>
      <c r="B110" s="16" t="inlineStr">
        <is>
          <t>SC House District 109</t>
        </is>
      </c>
      <c r="C110" s="16" t="inlineStr">
        <is>
          <t>House</t>
        </is>
      </c>
      <c r="D110" s="16" t="n">
        <v>109</v>
      </c>
      <c r="E110" s="16" t="inlineStr">
        <is>
          <t>Tiffany Spann-Wilder</t>
        </is>
      </c>
      <c r="F110" s="16" t="inlineStr">
        <is>
          <t>Democratic</t>
        </is>
      </c>
      <c r="G110" s="16" t="inlineStr"/>
      <c r="H110" s="16" t="n">
        <v>2026</v>
      </c>
      <c r="I110" s="16" t="inlineStr">
        <is>
          <t>Yes</t>
        </is>
      </c>
    </row>
    <row r="111">
      <c r="A111" s="17" t="inlineStr">
        <is>
          <t>SC-House-110</t>
        </is>
      </c>
      <c r="B111" s="17" t="inlineStr">
        <is>
          <t>SC House District 110</t>
        </is>
      </c>
      <c r="C111" s="17" t="inlineStr">
        <is>
          <t>House</t>
        </is>
      </c>
      <c r="D111" s="17" t="n">
        <v>110</v>
      </c>
      <c r="E111" s="17" t="inlineStr">
        <is>
          <t>Thomas F. "Tom" Hartnett, Jr.</t>
        </is>
      </c>
      <c r="F111" s="17" t="inlineStr">
        <is>
          <t>Republican</t>
        </is>
      </c>
      <c r="G111" s="17" t="inlineStr"/>
      <c r="H111" s="17" t="n">
        <v>2026</v>
      </c>
      <c r="I111" s="17" t="inlineStr">
        <is>
          <t>Yes</t>
        </is>
      </c>
    </row>
    <row r="112">
      <c r="A112" s="16" t="inlineStr">
        <is>
          <t>SC-House-111</t>
        </is>
      </c>
      <c r="B112" s="16" t="inlineStr">
        <is>
          <t>SC House District 111</t>
        </is>
      </c>
      <c r="C112" s="16" t="inlineStr">
        <is>
          <t>House</t>
        </is>
      </c>
      <c r="D112" s="16" t="n">
        <v>111</v>
      </c>
      <c r="E112" s="16" t="inlineStr">
        <is>
          <t>Wendell G. Gilliard</t>
        </is>
      </c>
      <c r="F112" s="16" t="inlineStr">
        <is>
          <t>Democratic</t>
        </is>
      </c>
      <c r="G112" s="16" t="inlineStr"/>
      <c r="H112" s="16" t="n">
        <v>2026</v>
      </c>
      <c r="I112" s="16" t="inlineStr">
        <is>
          <t>Yes</t>
        </is>
      </c>
    </row>
    <row r="113">
      <c r="A113" s="17" t="inlineStr">
        <is>
          <t>SC-House-112</t>
        </is>
      </c>
      <c r="B113" s="17" t="inlineStr">
        <is>
          <t>SC House District 112</t>
        </is>
      </c>
      <c r="C113" s="17" t="inlineStr">
        <is>
          <t>House</t>
        </is>
      </c>
      <c r="D113" s="17" t="n">
        <v>112</v>
      </c>
      <c r="E113" s="17" t="inlineStr">
        <is>
          <t>Joseph M. "Joe" Bustos</t>
        </is>
      </c>
      <c r="F113" s="17" t="inlineStr">
        <is>
          <t>Republican</t>
        </is>
      </c>
      <c r="G113" s="17" t="inlineStr"/>
      <c r="H113" s="17" t="n">
        <v>2026</v>
      </c>
      <c r="I113" s="17" t="inlineStr">
        <is>
          <t>Yes</t>
        </is>
      </c>
    </row>
    <row r="114">
      <c r="A114" s="16" t="inlineStr">
        <is>
          <t>SC-House-113</t>
        </is>
      </c>
      <c r="B114" s="16" t="inlineStr">
        <is>
          <t>SC House District 113</t>
        </is>
      </c>
      <c r="C114" s="16" t="inlineStr">
        <is>
          <t>House</t>
        </is>
      </c>
      <c r="D114" s="16" t="n">
        <v>113</v>
      </c>
      <c r="E114" s="16" t="inlineStr">
        <is>
          <t>Courtney S. Waters</t>
        </is>
      </c>
      <c r="F114" s="16" t="inlineStr">
        <is>
          <t>Democratic</t>
        </is>
      </c>
      <c r="G114" s="16" t="inlineStr"/>
      <c r="H114" s="16" t="n">
        <v>2026</v>
      </c>
      <c r="I114" s="16" t="inlineStr">
        <is>
          <t>Yes</t>
        </is>
      </c>
    </row>
    <row r="115">
      <c r="A115" s="17" t="inlineStr">
        <is>
          <t>SC-House-114</t>
        </is>
      </c>
      <c r="B115" s="17" t="inlineStr">
        <is>
          <t>SC House District 114</t>
        </is>
      </c>
      <c r="C115" s="17" t="inlineStr">
        <is>
          <t>House</t>
        </is>
      </c>
      <c r="D115" s="17" t="n">
        <v>114</v>
      </c>
      <c r="E115" s="17" t="inlineStr">
        <is>
          <t>Gary S. Brewer, Jr.</t>
        </is>
      </c>
      <c r="F115" s="17" t="inlineStr">
        <is>
          <t>Republican</t>
        </is>
      </c>
      <c r="G115" s="17" t="inlineStr"/>
      <c r="H115" s="17" t="n">
        <v>2026</v>
      </c>
      <c r="I115" s="17" t="inlineStr">
        <is>
          <t>Yes</t>
        </is>
      </c>
    </row>
    <row r="116">
      <c r="A116" s="16" t="inlineStr">
        <is>
          <t>SC-House-115</t>
        </is>
      </c>
      <c r="B116" s="16" t="inlineStr">
        <is>
          <t>SC House District 115</t>
        </is>
      </c>
      <c r="C116" s="16" t="inlineStr">
        <is>
          <t>House</t>
        </is>
      </c>
      <c r="D116" s="16" t="n">
        <v>115</v>
      </c>
      <c r="E116" s="16" t="inlineStr">
        <is>
          <t>Elizabeth "Spencer" Wetmore</t>
        </is>
      </c>
      <c r="F116" s="16" t="inlineStr">
        <is>
          <t>Democratic</t>
        </is>
      </c>
      <c r="G116" s="16" t="inlineStr"/>
      <c r="H116" s="16" t="n">
        <v>2026</v>
      </c>
      <c r="I116" s="16" t="inlineStr">
        <is>
          <t>Yes</t>
        </is>
      </c>
    </row>
    <row r="117">
      <c r="A117" s="17" t="inlineStr">
        <is>
          <t>SC-House-116</t>
        </is>
      </c>
      <c r="B117" s="17" t="inlineStr">
        <is>
          <t>SC House District 116</t>
        </is>
      </c>
      <c r="C117" s="17" t="inlineStr">
        <is>
          <t>House</t>
        </is>
      </c>
      <c r="D117" s="17" t="n">
        <v>116</v>
      </c>
      <c r="E117" s="17" t="inlineStr">
        <is>
          <t>James E. Teeple</t>
        </is>
      </c>
      <c r="F117" s="17" t="inlineStr">
        <is>
          <t>Republican</t>
        </is>
      </c>
      <c r="G117" s="17" t="inlineStr"/>
      <c r="H117" s="17" t="n">
        <v>2026</v>
      </c>
      <c r="I117" s="17" t="inlineStr">
        <is>
          <t>Yes</t>
        </is>
      </c>
    </row>
    <row r="118">
      <c r="A118" s="16" t="inlineStr">
        <is>
          <t>SC-House-117</t>
        </is>
      </c>
      <c r="B118" s="16" t="inlineStr">
        <is>
          <t>SC House District 117</t>
        </is>
      </c>
      <c r="C118" s="16" t="inlineStr">
        <is>
          <t>House</t>
        </is>
      </c>
      <c r="D118" s="16" t="n">
        <v>117</v>
      </c>
      <c r="E118" s="16" t="inlineStr">
        <is>
          <t>Jordan S. Pace</t>
        </is>
      </c>
      <c r="F118" s="16" t="inlineStr">
        <is>
          <t>Republican</t>
        </is>
      </c>
      <c r="G118" s="16" t="inlineStr"/>
      <c r="H118" s="16" t="n">
        <v>2026</v>
      </c>
      <c r="I118" s="16" t="inlineStr">
        <is>
          <t>Yes</t>
        </is>
      </c>
    </row>
    <row r="119">
      <c r="A119" s="17" t="inlineStr">
        <is>
          <t>SC-House-118</t>
        </is>
      </c>
      <c r="B119" s="17" t="inlineStr">
        <is>
          <t>SC House District 118</t>
        </is>
      </c>
      <c r="C119" s="17" t="inlineStr">
        <is>
          <t>House</t>
        </is>
      </c>
      <c r="D119" s="17" t="n">
        <v>118</v>
      </c>
      <c r="E119" s="17" t="inlineStr">
        <is>
          <t>William G. "Bill" Herbkersman</t>
        </is>
      </c>
      <c r="F119" s="17" t="inlineStr">
        <is>
          <t>Republican</t>
        </is>
      </c>
      <c r="G119" s="17" t="inlineStr"/>
      <c r="H119" s="17" t="n">
        <v>2026</v>
      </c>
      <c r="I119" s="17" t="inlineStr">
        <is>
          <t>Yes</t>
        </is>
      </c>
    </row>
    <row r="120">
      <c r="A120" s="16" t="inlineStr">
        <is>
          <t>SC-House-119</t>
        </is>
      </c>
      <c r="B120" s="16" t="inlineStr">
        <is>
          <t>SC House District 119</t>
        </is>
      </c>
      <c r="C120" s="16" t="inlineStr">
        <is>
          <t>House</t>
        </is>
      </c>
      <c r="D120" s="16" t="n">
        <v>119</v>
      </c>
      <c r="E120" s="16" t="inlineStr">
        <is>
          <t>Leonidas E. "Leon" Stavrinakis</t>
        </is>
      </c>
      <c r="F120" s="16" t="inlineStr">
        <is>
          <t>Democratic</t>
        </is>
      </c>
      <c r="G120" s="16" t="inlineStr"/>
      <c r="H120" s="16" t="n">
        <v>2026</v>
      </c>
      <c r="I120" s="16" t="inlineStr">
        <is>
          <t>Yes</t>
        </is>
      </c>
    </row>
    <row r="121">
      <c r="A121" s="17" t="inlineStr">
        <is>
          <t>SC-House-120</t>
        </is>
      </c>
      <c r="B121" s="17" t="inlineStr">
        <is>
          <t>SC House District 120</t>
        </is>
      </c>
      <c r="C121" s="17" t="inlineStr">
        <is>
          <t>House</t>
        </is>
      </c>
      <c r="D121" s="17" t="n">
        <v>120</v>
      </c>
      <c r="E121" s="17" t="inlineStr">
        <is>
          <t>Wm. Weston J. Newton</t>
        </is>
      </c>
      <c r="F121" s="17" t="inlineStr">
        <is>
          <t>Republican</t>
        </is>
      </c>
      <c r="G121" s="17" t="inlineStr"/>
      <c r="H121" s="17" t="n">
        <v>2026</v>
      </c>
      <c r="I121" s="17" t="inlineStr">
        <is>
          <t>Yes</t>
        </is>
      </c>
    </row>
    <row r="122">
      <c r="A122" s="16" t="inlineStr">
        <is>
          <t>SC-House-121</t>
        </is>
      </c>
      <c r="B122" s="16" t="inlineStr">
        <is>
          <t>SC House District 121</t>
        </is>
      </c>
      <c r="C122" s="16" t="inlineStr">
        <is>
          <t>House</t>
        </is>
      </c>
      <c r="D122" s="16" t="n">
        <v>121</v>
      </c>
      <c r="E122" s="16" t="inlineStr">
        <is>
          <t>Michael F. Rivers, Sr.</t>
        </is>
      </c>
      <c r="F122" s="16" t="inlineStr">
        <is>
          <t>Democratic</t>
        </is>
      </c>
      <c r="G122" s="16" t="inlineStr"/>
      <c r="H122" s="16" t="n">
        <v>2026</v>
      </c>
      <c r="I122" s="16" t="inlineStr">
        <is>
          <t>Yes</t>
        </is>
      </c>
    </row>
    <row r="123">
      <c r="A123" s="17" t="inlineStr">
        <is>
          <t>SC-House-122</t>
        </is>
      </c>
      <c r="B123" s="17" t="inlineStr">
        <is>
          <t>SC House District 122</t>
        </is>
      </c>
      <c r="C123" s="17" t="inlineStr">
        <is>
          <t>House</t>
        </is>
      </c>
      <c r="D123" s="17" t="n">
        <v>122</v>
      </c>
      <c r="E123" s="17" t="inlineStr">
        <is>
          <t>William "Bill" Hager</t>
        </is>
      </c>
      <c r="F123" s="17" t="inlineStr">
        <is>
          <t>Republican</t>
        </is>
      </c>
      <c r="G123" s="17" t="inlineStr"/>
      <c r="H123" s="17" t="n">
        <v>2026</v>
      </c>
      <c r="I123" s="17" t="inlineStr">
        <is>
          <t>Yes</t>
        </is>
      </c>
    </row>
    <row r="124">
      <c r="A124" s="16" t="inlineStr">
        <is>
          <t>SC-House-123</t>
        </is>
      </c>
      <c r="B124" s="16" t="inlineStr">
        <is>
          <t>SC House District 123</t>
        </is>
      </c>
      <c r="C124" s="16" t="inlineStr">
        <is>
          <t>House</t>
        </is>
      </c>
      <c r="D124" s="16" t="n">
        <v>123</v>
      </c>
      <c r="E124" s="16" t="inlineStr">
        <is>
          <t>Jeffrey A. "Jeff" Bradley</t>
        </is>
      </c>
      <c r="F124" s="16" t="inlineStr">
        <is>
          <t>Republican</t>
        </is>
      </c>
      <c r="G124" s="16" t="inlineStr"/>
      <c r="H124" s="16" t="n">
        <v>2026</v>
      </c>
      <c r="I124" s="16" t="inlineStr">
        <is>
          <t>Yes</t>
        </is>
      </c>
    </row>
    <row r="125">
      <c r="A125" s="17" t="inlineStr">
        <is>
          <t>SC-House-124</t>
        </is>
      </c>
      <c r="B125" s="17" t="inlineStr">
        <is>
          <t>SC House District 124</t>
        </is>
      </c>
      <c r="C125" s="17" t="inlineStr">
        <is>
          <t>House</t>
        </is>
      </c>
      <c r="D125" s="17" t="n">
        <v>124</v>
      </c>
      <c r="E125" s="17" t="inlineStr">
        <is>
          <t>Shannon S. Erickson</t>
        </is>
      </c>
      <c r="F125" s="17" t="inlineStr">
        <is>
          <t>Republican</t>
        </is>
      </c>
      <c r="G125" s="17" t="inlineStr"/>
      <c r="H125" s="17" t="n">
        <v>2026</v>
      </c>
      <c r="I125" s="17" t="inlineStr">
        <is>
          <t>Yes</t>
        </is>
      </c>
    </row>
    <row r="126">
      <c r="A126" s="16" t="inlineStr">
        <is>
          <t>SC-Senate-001</t>
        </is>
      </c>
      <c r="B126" s="16" t="inlineStr">
        <is>
          <t>SC Senate District 1</t>
        </is>
      </c>
      <c r="C126" s="16" t="inlineStr">
        <is>
          <t>Senate</t>
        </is>
      </c>
      <c r="D126" s="16" t="n">
        <v>1</v>
      </c>
      <c r="E126" s="16" t="inlineStr">
        <is>
          <t>Thomas C. Alexander</t>
        </is>
      </c>
      <c r="F126" s="16" t="inlineStr">
        <is>
          <t>Republican</t>
        </is>
      </c>
      <c r="G126" s="16" t="inlineStr"/>
      <c r="H126" s="16" t="n">
        <v>2026</v>
      </c>
      <c r="I126" s="16" t="inlineStr">
        <is>
          <t>Yes</t>
        </is>
      </c>
    </row>
    <row r="127">
      <c r="A127" s="17" t="inlineStr">
        <is>
          <t>SC-Senate-002</t>
        </is>
      </c>
      <c r="B127" s="17" t="inlineStr">
        <is>
          <t>SC Senate District 2</t>
        </is>
      </c>
      <c r="C127" s="17" t="inlineStr">
        <is>
          <t>Senate</t>
        </is>
      </c>
      <c r="D127" s="17" t="n">
        <v>2</v>
      </c>
      <c r="E127" s="17" t="inlineStr">
        <is>
          <t>Rex F. Rice</t>
        </is>
      </c>
      <c r="F127" s="17" t="inlineStr">
        <is>
          <t>Republican</t>
        </is>
      </c>
      <c r="G127" s="17" t="inlineStr"/>
      <c r="H127" s="17" t="n">
        <v>2026</v>
      </c>
      <c r="I127" s="17" t="inlineStr">
        <is>
          <t>No</t>
        </is>
      </c>
    </row>
    <row r="128">
      <c r="A128" s="16" t="inlineStr">
        <is>
          <t>SC-Senate-003</t>
        </is>
      </c>
      <c r="B128" s="16" t="inlineStr">
        <is>
          <t>SC Senate District 3</t>
        </is>
      </c>
      <c r="C128" s="16" t="inlineStr">
        <is>
          <t>Senate</t>
        </is>
      </c>
      <c r="D128" s="16" t="n">
        <v>3</v>
      </c>
      <c r="E128" s="16" t="inlineStr">
        <is>
          <t>Richard J. Cash</t>
        </is>
      </c>
      <c r="F128" s="16" t="inlineStr">
        <is>
          <t>Republican</t>
        </is>
      </c>
      <c r="G128" s="16" t="inlineStr"/>
      <c r="H128" s="16" t="n">
        <v>2026</v>
      </c>
      <c r="I128" s="16" t="inlineStr">
        <is>
          <t>Yes</t>
        </is>
      </c>
    </row>
    <row r="129">
      <c r="A129" s="17" t="inlineStr">
        <is>
          <t>SC-Senate-004</t>
        </is>
      </c>
      <c r="B129" s="17" t="inlineStr">
        <is>
          <t>SC Senate District 4</t>
        </is>
      </c>
      <c r="C129" s="17" t="inlineStr">
        <is>
          <t>Senate</t>
        </is>
      </c>
      <c r="D129" s="17" t="n">
        <v>4</v>
      </c>
      <c r="E129" s="17" t="inlineStr">
        <is>
          <t>Michael W. Gambrell</t>
        </is>
      </c>
      <c r="F129" s="17" t="inlineStr">
        <is>
          <t>Republican</t>
        </is>
      </c>
      <c r="G129" s="17" t="inlineStr"/>
      <c r="H129" s="17" t="n">
        <v>2026</v>
      </c>
      <c r="I129" s="17" t="inlineStr">
        <is>
          <t>No</t>
        </is>
      </c>
    </row>
    <row r="130">
      <c r="A130" s="16" t="inlineStr">
        <is>
          <t>SC-Senate-005</t>
        </is>
      </c>
      <c r="B130" s="16" t="inlineStr">
        <is>
          <t>SC Senate District 5</t>
        </is>
      </c>
      <c r="C130" s="16" t="inlineStr">
        <is>
          <t>Senate</t>
        </is>
      </c>
      <c r="D130" s="16" t="n">
        <v>5</v>
      </c>
      <c r="E130" s="16" t="inlineStr">
        <is>
          <t>Thomas D. "Tom" Corbin</t>
        </is>
      </c>
      <c r="F130" s="16" t="inlineStr">
        <is>
          <t>Republican</t>
        </is>
      </c>
      <c r="G130" s="16" t="inlineStr"/>
      <c r="H130" s="16" t="n">
        <v>2026</v>
      </c>
      <c r="I130" s="16" t="inlineStr">
        <is>
          <t>Yes</t>
        </is>
      </c>
    </row>
    <row r="131">
      <c r="A131" s="17" t="inlineStr">
        <is>
          <t>SC-Senate-006</t>
        </is>
      </c>
      <c r="B131" s="17" t="inlineStr">
        <is>
          <t>SC Senate District 6</t>
        </is>
      </c>
      <c r="C131" s="17" t="inlineStr">
        <is>
          <t>Senate</t>
        </is>
      </c>
      <c r="D131" s="17" t="n">
        <v>6</v>
      </c>
      <c r="E131" s="17" t="inlineStr">
        <is>
          <t>Jason Elliott</t>
        </is>
      </c>
      <c r="F131" s="17" t="inlineStr">
        <is>
          <t>Republican</t>
        </is>
      </c>
      <c r="G131" s="17" t="inlineStr"/>
      <c r="H131" s="17" t="n">
        <v>2026</v>
      </c>
      <c r="I131" s="17" t="inlineStr">
        <is>
          <t>No</t>
        </is>
      </c>
    </row>
    <row r="132">
      <c r="A132" s="16" t="inlineStr">
        <is>
          <t>SC-Senate-007</t>
        </is>
      </c>
      <c r="B132" s="16" t="inlineStr">
        <is>
          <t>SC Senate District 7</t>
        </is>
      </c>
      <c r="C132" s="16" t="inlineStr">
        <is>
          <t>Senate</t>
        </is>
      </c>
      <c r="D132" s="16" t="n">
        <v>7</v>
      </c>
      <c r="E132" s="16" t="inlineStr">
        <is>
          <t>Karl B. Allen</t>
        </is>
      </c>
      <c r="F132" s="16" t="inlineStr">
        <is>
          <t>Democratic</t>
        </is>
      </c>
      <c r="G132" s="16" t="inlineStr"/>
      <c r="H132" s="16" t="n">
        <v>2026</v>
      </c>
      <c r="I132" s="16" t="inlineStr">
        <is>
          <t>Yes</t>
        </is>
      </c>
    </row>
    <row r="133">
      <c r="A133" s="17" t="inlineStr">
        <is>
          <t>SC-Senate-008</t>
        </is>
      </c>
      <c r="B133" s="17" t="inlineStr">
        <is>
          <t>SC Senate District 8</t>
        </is>
      </c>
      <c r="C133" s="17" t="inlineStr">
        <is>
          <t>Senate</t>
        </is>
      </c>
      <c r="D133" s="17" t="n">
        <v>8</v>
      </c>
      <c r="E133" s="17" t="inlineStr">
        <is>
          <t>Ross Turner</t>
        </is>
      </c>
      <c r="F133" s="17" t="inlineStr">
        <is>
          <t>Republican</t>
        </is>
      </c>
      <c r="G133" s="17" t="inlineStr"/>
      <c r="H133" s="17" t="n">
        <v>2026</v>
      </c>
      <c r="I133" s="17" t="inlineStr">
        <is>
          <t>No</t>
        </is>
      </c>
    </row>
    <row r="134">
      <c r="A134" s="16" t="inlineStr">
        <is>
          <t>SC-Senate-009</t>
        </is>
      </c>
      <c r="B134" s="16" t="inlineStr">
        <is>
          <t>SC Senate District 9</t>
        </is>
      </c>
      <c r="C134" s="16" t="inlineStr">
        <is>
          <t>Senate</t>
        </is>
      </c>
      <c r="D134" s="16" t="n">
        <v>9</v>
      </c>
      <c r="E134" s="16" t="inlineStr">
        <is>
          <t>Daniel B. "Danny" Verdin III</t>
        </is>
      </c>
      <c r="F134" s="16" t="inlineStr">
        <is>
          <t>Republican</t>
        </is>
      </c>
      <c r="G134" s="16" t="inlineStr"/>
      <c r="H134" s="16" t="n">
        <v>2026</v>
      </c>
      <c r="I134" s="16" t="inlineStr">
        <is>
          <t>Yes</t>
        </is>
      </c>
    </row>
    <row r="135">
      <c r="A135" s="17" t="inlineStr">
        <is>
          <t>SC-Senate-010</t>
        </is>
      </c>
      <c r="B135" s="17" t="inlineStr">
        <is>
          <t>SC Senate District 10</t>
        </is>
      </c>
      <c r="C135" s="17" t="inlineStr">
        <is>
          <t>Senate</t>
        </is>
      </c>
      <c r="D135" s="17" t="n">
        <v>10</v>
      </c>
      <c r="E135" s="17" t="inlineStr">
        <is>
          <t>Billy Garrett</t>
        </is>
      </c>
      <c r="F135" s="17" t="inlineStr">
        <is>
          <t>Republican</t>
        </is>
      </c>
      <c r="G135" s="17" t="inlineStr"/>
      <c r="H135" s="17" t="n">
        <v>2026</v>
      </c>
      <c r="I135" s="17" t="inlineStr">
        <is>
          <t>No</t>
        </is>
      </c>
    </row>
    <row r="136">
      <c r="A136" s="16" t="inlineStr">
        <is>
          <t>SC-Senate-011</t>
        </is>
      </c>
      <c r="B136" s="16" t="inlineStr">
        <is>
          <t>SC Senate District 11</t>
        </is>
      </c>
      <c r="C136" s="16" t="inlineStr">
        <is>
          <t>Senate</t>
        </is>
      </c>
      <c r="D136" s="16" t="n">
        <v>11</v>
      </c>
      <c r="E136" s="16" t="inlineStr">
        <is>
          <t>Josh Kimbrell</t>
        </is>
      </c>
      <c r="F136" s="16" t="inlineStr">
        <is>
          <t>Republican</t>
        </is>
      </c>
      <c r="G136" s="16" t="inlineStr"/>
      <c r="H136" s="16" t="n">
        <v>2026</v>
      </c>
      <c r="I136" s="16" t="inlineStr">
        <is>
          <t>Yes</t>
        </is>
      </c>
    </row>
    <row r="137">
      <c r="A137" s="17" t="inlineStr">
        <is>
          <t>SC-Senate-012</t>
        </is>
      </c>
      <c r="B137" s="17" t="inlineStr">
        <is>
          <t>SC Senate District 12</t>
        </is>
      </c>
      <c r="C137" s="17" t="inlineStr">
        <is>
          <t>Senate</t>
        </is>
      </c>
      <c r="D137" s="17" t="n">
        <v>12</v>
      </c>
      <c r="E137" s="17" t="inlineStr">
        <is>
          <t>Lee Bright</t>
        </is>
      </c>
      <c r="F137" s="17" t="inlineStr">
        <is>
          <t>Republican</t>
        </is>
      </c>
      <c r="G137" s="17" t="inlineStr"/>
      <c r="H137" s="17" t="n">
        <v>2026</v>
      </c>
      <c r="I137" s="17" t="inlineStr">
        <is>
          <t>No</t>
        </is>
      </c>
    </row>
    <row r="138">
      <c r="A138" s="16" t="inlineStr">
        <is>
          <t>SC-Senate-013</t>
        </is>
      </c>
      <c r="B138" s="16" t="inlineStr">
        <is>
          <t>SC Senate District 13</t>
        </is>
      </c>
      <c r="C138" s="16" t="inlineStr">
        <is>
          <t>Senate</t>
        </is>
      </c>
      <c r="D138" s="16" t="n">
        <v>13</v>
      </c>
      <c r="E138" s="16" t="inlineStr">
        <is>
          <t>Shane R. Martin</t>
        </is>
      </c>
      <c r="F138" s="16" t="inlineStr">
        <is>
          <t>Republican</t>
        </is>
      </c>
      <c r="G138" s="16" t="inlineStr"/>
      <c r="H138" s="16" t="n">
        <v>2026</v>
      </c>
      <c r="I138" s="16" t="inlineStr">
        <is>
          <t>Yes</t>
        </is>
      </c>
    </row>
    <row r="139">
      <c r="A139" s="17" t="inlineStr">
        <is>
          <t>SC-Senate-014</t>
        </is>
      </c>
      <c r="B139" s="17" t="inlineStr">
        <is>
          <t>SC Senate District 14</t>
        </is>
      </c>
      <c r="C139" s="17" t="inlineStr">
        <is>
          <t>Senate</t>
        </is>
      </c>
      <c r="D139" s="17" t="n">
        <v>14</v>
      </c>
      <c r="E139" s="17" t="inlineStr">
        <is>
          <t>Harvey S. Peeler, Jr.</t>
        </is>
      </c>
      <c r="F139" s="17" t="inlineStr">
        <is>
          <t>Republican</t>
        </is>
      </c>
      <c r="G139" s="17" t="inlineStr"/>
      <c r="H139" s="17" t="n">
        <v>2026</v>
      </c>
      <c r="I139" s="17" t="inlineStr">
        <is>
          <t>No</t>
        </is>
      </c>
    </row>
    <row r="140">
      <c r="A140" s="16" t="inlineStr">
        <is>
          <t>SC-Senate-015</t>
        </is>
      </c>
      <c r="B140" s="16" t="inlineStr">
        <is>
          <t>SC Senate District 15</t>
        </is>
      </c>
      <c r="C140" s="16" t="inlineStr">
        <is>
          <t>Senate</t>
        </is>
      </c>
      <c r="D140" s="16" t="n">
        <v>15</v>
      </c>
      <c r="E140" s="16" t="inlineStr">
        <is>
          <t>Wes Climer</t>
        </is>
      </c>
      <c r="F140" s="16" t="inlineStr">
        <is>
          <t>Republican</t>
        </is>
      </c>
      <c r="G140" s="16" t="inlineStr"/>
      <c r="H140" s="16" t="n">
        <v>2026</v>
      </c>
      <c r="I140" s="16" t="inlineStr">
        <is>
          <t>Yes</t>
        </is>
      </c>
    </row>
    <row r="141">
      <c r="A141" s="17" t="inlineStr">
        <is>
          <t>SC-Senate-016</t>
        </is>
      </c>
      <c r="B141" s="17" t="inlineStr">
        <is>
          <t>SC Senate District 16</t>
        </is>
      </c>
      <c r="C141" s="17" t="inlineStr">
        <is>
          <t>Senate</t>
        </is>
      </c>
      <c r="D141" s="17" t="n">
        <v>16</v>
      </c>
      <c r="E141" s="17" t="inlineStr">
        <is>
          <t>Michael Johnson</t>
        </is>
      </c>
      <c r="F141" s="17" t="inlineStr">
        <is>
          <t>Republican</t>
        </is>
      </c>
      <c r="G141" s="17" t="inlineStr"/>
      <c r="H141" s="17" t="n">
        <v>2026</v>
      </c>
      <c r="I141" s="17" t="inlineStr">
        <is>
          <t>No</t>
        </is>
      </c>
    </row>
    <row r="142">
      <c r="A142" s="16" t="inlineStr">
        <is>
          <t>SC-Senate-017</t>
        </is>
      </c>
      <c r="B142" s="16" t="inlineStr">
        <is>
          <t>SC Senate District 17</t>
        </is>
      </c>
      <c r="C142" s="16" t="inlineStr">
        <is>
          <t>Senate</t>
        </is>
      </c>
      <c r="D142" s="16" t="n">
        <v>17</v>
      </c>
      <c r="E142" s="16" t="inlineStr">
        <is>
          <t>Everett Stubbs</t>
        </is>
      </c>
      <c r="F142" s="16" t="inlineStr">
        <is>
          <t>Republican</t>
        </is>
      </c>
      <c r="G142" s="16" t="inlineStr"/>
      <c r="H142" s="16" t="n">
        <v>2026</v>
      </c>
      <c r="I142" s="16" t="inlineStr">
        <is>
          <t>Yes</t>
        </is>
      </c>
    </row>
    <row r="143">
      <c r="A143" s="17" t="inlineStr">
        <is>
          <t>SC-Senate-018</t>
        </is>
      </c>
      <c r="B143" s="17" t="inlineStr">
        <is>
          <t>SC Senate District 18</t>
        </is>
      </c>
      <c r="C143" s="17" t="inlineStr">
        <is>
          <t>Senate</t>
        </is>
      </c>
      <c r="D143" s="17" t="n">
        <v>18</v>
      </c>
      <c r="E143" s="17" t="inlineStr">
        <is>
          <t>Ronnie W. Cromer</t>
        </is>
      </c>
      <c r="F143" s="17" t="inlineStr">
        <is>
          <t>Republican</t>
        </is>
      </c>
      <c r="G143" s="17" t="inlineStr"/>
      <c r="H143" s="17" t="n">
        <v>2026</v>
      </c>
      <c r="I143" s="17" t="inlineStr">
        <is>
          <t>No</t>
        </is>
      </c>
    </row>
    <row r="144">
      <c r="A144" s="16" t="inlineStr">
        <is>
          <t>SC-Senate-019</t>
        </is>
      </c>
      <c r="B144" s="16" t="inlineStr">
        <is>
          <t>SC Senate District 19</t>
        </is>
      </c>
      <c r="C144" s="16" t="inlineStr">
        <is>
          <t>Senate</t>
        </is>
      </c>
      <c r="D144" s="16" t="n">
        <v>19</v>
      </c>
      <c r="E144" s="16" t="inlineStr">
        <is>
          <t>Tameika Isaac Devine</t>
        </is>
      </c>
      <c r="F144" s="16" t="inlineStr">
        <is>
          <t>Democratic</t>
        </is>
      </c>
      <c r="G144" s="16" t="inlineStr"/>
      <c r="H144" s="16" t="n">
        <v>2026</v>
      </c>
      <c r="I144" s="16" t="inlineStr">
        <is>
          <t>Yes</t>
        </is>
      </c>
    </row>
    <row r="145">
      <c r="A145" s="17" t="inlineStr">
        <is>
          <t>SC-Senate-020</t>
        </is>
      </c>
      <c r="B145" s="17" t="inlineStr">
        <is>
          <t>SC Senate District 20</t>
        </is>
      </c>
      <c r="C145" s="17" t="inlineStr">
        <is>
          <t>Senate</t>
        </is>
      </c>
      <c r="D145" s="17" t="n">
        <v>20</v>
      </c>
      <c r="E145" s="17" t="inlineStr">
        <is>
          <t>Ed Sutton</t>
        </is>
      </c>
      <c r="F145" s="17" t="inlineStr">
        <is>
          <t>Democratic</t>
        </is>
      </c>
      <c r="G145" s="17" t="inlineStr"/>
      <c r="H145" s="17" t="n">
        <v>2026</v>
      </c>
      <c r="I145" s="17" t="inlineStr">
        <is>
          <t>No</t>
        </is>
      </c>
    </row>
    <row r="146">
      <c r="A146" s="16" t="inlineStr">
        <is>
          <t>SC-Senate-021</t>
        </is>
      </c>
      <c r="B146" s="16" t="inlineStr">
        <is>
          <t>SC Senate District 21</t>
        </is>
      </c>
      <c r="C146" s="16" t="inlineStr">
        <is>
          <t>Senate</t>
        </is>
      </c>
      <c r="D146" s="16" t="n">
        <v>21</v>
      </c>
      <c r="E146" s="16" t="inlineStr">
        <is>
          <t>Darrell Jackson</t>
        </is>
      </c>
      <c r="F146" s="16" t="inlineStr">
        <is>
          <t>Democratic</t>
        </is>
      </c>
      <c r="G146" s="16" t="inlineStr"/>
      <c r="H146" s="16" t="n">
        <v>2026</v>
      </c>
      <c r="I146" s="16" t="inlineStr">
        <is>
          <t>Yes</t>
        </is>
      </c>
    </row>
    <row r="147">
      <c r="A147" s="17" t="inlineStr">
        <is>
          <t>SC-Senate-022</t>
        </is>
      </c>
      <c r="B147" s="17" t="inlineStr">
        <is>
          <t>SC Senate District 22</t>
        </is>
      </c>
      <c r="C147" s="17" t="inlineStr">
        <is>
          <t>Senate</t>
        </is>
      </c>
      <c r="D147" s="17" t="n">
        <v>22</v>
      </c>
      <c r="E147" s="17" t="inlineStr">
        <is>
          <t>Overture Walker</t>
        </is>
      </c>
      <c r="F147" s="17" t="inlineStr">
        <is>
          <t>Democratic</t>
        </is>
      </c>
      <c r="G147" s="17" t="inlineStr"/>
      <c r="H147" s="17" t="n">
        <v>2026</v>
      </c>
      <c r="I147" s="17" t="inlineStr">
        <is>
          <t>No</t>
        </is>
      </c>
    </row>
    <row r="148">
      <c r="A148" s="16" t="inlineStr">
        <is>
          <t>SC-Senate-023</t>
        </is>
      </c>
      <c r="B148" s="16" t="inlineStr">
        <is>
          <t>SC Senate District 23</t>
        </is>
      </c>
      <c r="C148" s="16" t="inlineStr">
        <is>
          <t>Senate</t>
        </is>
      </c>
      <c r="D148" s="16" t="n">
        <v>23</v>
      </c>
      <c r="E148" s="16" t="inlineStr">
        <is>
          <t>Carlisle Kennedy</t>
        </is>
      </c>
      <c r="F148" s="16" t="inlineStr">
        <is>
          <t>Republican</t>
        </is>
      </c>
      <c r="G148" s="16" t="inlineStr"/>
      <c r="H148" s="16" t="n">
        <v>2026</v>
      </c>
      <c r="I148" s="16" t="inlineStr">
        <is>
          <t>Yes</t>
        </is>
      </c>
    </row>
    <row r="149">
      <c r="A149" s="17" t="inlineStr">
        <is>
          <t>SC-Senate-024</t>
        </is>
      </c>
      <c r="B149" s="17" t="inlineStr">
        <is>
          <t>SC Senate District 24</t>
        </is>
      </c>
      <c r="C149" s="17" t="inlineStr">
        <is>
          <t>Senate</t>
        </is>
      </c>
      <c r="D149" s="17" t="n">
        <v>24</v>
      </c>
      <c r="E149" s="17" t="inlineStr">
        <is>
          <t>Tom Young, Jr.</t>
        </is>
      </c>
      <c r="F149" s="17" t="inlineStr">
        <is>
          <t>Republican</t>
        </is>
      </c>
      <c r="G149" s="17" t="inlineStr"/>
      <c r="H149" s="17" t="n">
        <v>2026</v>
      </c>
      <c r="I149" s="17" t="inlineStr">
        <is>
          <t>No</t>
        </is>
      </c>
    </row>
    <row r="150">
      <c r="A150" s="16" t="inlineStr">
        <is>
          <t>SC-Senate-025</t>
        </is>
      </c>
      <c r="B150" s="16" t="inlineStr">
        <is>
          <t>SC Senate District 25</t>
        </is>
      </c>
      <c r="C150" s="16" t="inlineStr">
        <is>
          <t>Senate</t>
        </is>
      </c>
      <c r="D150" s="16" t="n">
        <v>25</v>
      </c>
      <c r="E150" s="16" t="inlineStr">
        <is>
          <t>A. Shane Massey</t>
        </is>
      </c>
      <c r="F150" s="16" t="inlineStr">
        <is>
          <t>Republican</t>
        </is>
      </c>
      <c r="G150" s="16" t="inlineStr"/>
      <c r="H150" s="16" t="n">
        <v>2026</v>
      </c>
      <c r="I150" s="16" t="inlineStr">
        <is>
          <t>Yes</t>
        </is>
      </c>
    </row>
    <row r="151">
      <c r="A151" s="17" t="inlineStr">
        <is>
          <t>SC-Senate-026</t>
        </is>
      </c>
      <c r="B151" s="17" t="inlineStr">
        <is>
          <t>SC Senate District 26</t>
        </is>
      </c>
      <c r="C151" s="17" t="inlineStr">
        <is>
          <t>Senate</t>
        </is>
      </c>
      <c r="D151" s="17" t="n">
        <v>26</v>
      </c>
      <c r="E151" s="17" t="inlineStr">
        <is>
          <t>Russell L. Ott</t>
        </is>
      </c>
      <c r="F151" s="17" t="inlineStr">
        <is>
          <t>Democratic</t>
        </is>
      </c>
      <c r="G151" s="17" t="inlineStr"/>
      <c r="H151" s="17" t="n">
        <v>2026</v>
      </c>
      <c r="I151" s="17" t="inlineStr">
        <is>
          <t>No</t>
        </is>
      </c>
    </row>
    <row r="152">
      <c r="A152" s="16" t="inlineStr">
        <is>
          <t>SC-Senate-027</t>
        </is>
      </c>
      <c r="B152" s="16" t="inlineStr">
        <is>
          <t>SC Senate District 27</t>
        </is>
      </c>
      <c r="C152" s="16" t="inlineStr">
        <is>
          <t>Senate</t>
        </is>
      </c>
      <c r="D152" s="16" t="n">
        <v>27</v>
      </c>
      <c r="E152" s="16" t="inlineStr">
        <is>
          <t>Allen Blackmon</t>
        </is>
      </c>
      <c r="F152" s="16" t="inlineStr">
        <is>
          <t>Republican</t>
        </is>
      </c>
      <c r="G152" s="16" t="inlineStr"/>
      <c r="H152" s="16" t="n">
        <v>2026</v>
      </c>
      <c r="I152" s="16" t="inlineStr">
        <is>
          <t>Yes</t>
        </is>
      </c>
    </row>
    <row r="153">
      <c r="A153" s="17" t="inlineStr">
        <is>
          <t>SC-Senate-028</t>
        </is>
      </c>
      <c r="B153" s="17" t="inlineStr">
        <is>
          <t>SC Senate District 28</t>
        </is>
      </c>
      <c r="C153" s="17" t="inlineStr">
        <is>
          <t>Senate</t>
        </is>
      </c>
      <c r="D153" s="17" t="n">
        <v>28</v>
      </c>
      <c r="E153" s="17" t="inlineStr">
        <is>
          <t>Greg Hembree</t>
        </is>
      </c>
      <c r="F153" s="17" t="inlineStr">
        <is>
          <t>Republican</t>
        </is>
      </c>
      <c r="G153" s="17" t="inlineStr"/>
      <c r="H153" s="17" t="n">
        <v>2026</v>
      </c>
      <c r="I153" s="17" t="inlineStr">
        <is>
          <t>No</t>
        </is>
      </c>
    </row>
    <row r="154">
      <c r="A154" s="16" t="inlineStr">
        <is>
          <t>SC-Senate-029</t>
        </is>
      </c>
      <c r="B154" s="16" t="inlineStr">
        <is>
          <t>SC Senate District 29</t>
        </is>
      </c>
      <c r="C154" s="16" t="inlineStr">
        <is>
          <t>Senate</t>
        </is>
      </c>
      <c r="D154" s="16" t="n">
        <v>29</v>
      </c>
      <c r="E154" s="16" t="inlineStr">
        <is>
          <t>JD Chaplin</t>
        </is>
      </c>
      <c r="F154" s="16" t="inlineStr">
        <is>
          <t>Republican</t>
        </is>
      </c>
      <c r="G154" s="16" t="inlineStr"/>
      <c r="H154" s="16" t="n">
        <v>2026</v>
      </c>
      <c r="I154" s="16" t="inlineStr">
        <is>
          <t>Yes</t>
        </is>
      </c>
    </row>
    <row r="155">
      <c r="A155" s="17" t="inlineStr">
        <is>
          <t>SC-Senate-030</t>
        </is>
      </c>
      <c r="B155" s="17" t="inlineStr">
        <is>
          <t>SC Senate District 30</t>
        </is>
      </c>
      <c r="C155" s="17" t="inlineStr">
        <is>
          <t>Senate</t>
        </is>
      </c>
      <c r="D155" s="17" t="n">
        <v>30</v>
      </c>
      <c r="E155" s="17" t="inlineStr">
        <is>
          <t>Kent M. Williams</t>
        </is>
      </c>
      <c r="F155" s="17" t="inlineStr">
        <is>
          <t>Democratic</t>
        </is>
      </c>
      <c r="G155" s="17" t="inlineStr"/>
      <c r="H155" s="17" t="n">
        <v>2026</v>
      </c>
      <c r="I155" s="17" t="inlineStr">
        <is>
          <t>No</t>
        </is>
      </c>
    </row>
    <row r="156">
      <c r="A156" s="16" t="inlineStr">
        <is>
          <t>SC-Senate-031</t>
        </is>
      </c>
      <c r="B156" s="16" t="inlineStr">
        <is>
          <t>SC Senate District 31</t>
        </is>
      </c>
      <c r="C156" s="16" t="inlineStr">
        <is>
          <t>Senate</t>
        </is>
      </c>
      <c r="D156" s="16" t="n">
        <v>31</v>
      </c>
      <c r="E156" s="16" t="inlineStr">
        <is>
          <t>Mike Reichenbach</t>
        </is>
      </c>
      <c r="F156" s="16" t="inlineStr">
        <is>
          <t>Republican</t>
        </is>
      </c>
      <c r="G156" s="16" t="inlineStr"/>
      <c r="H156" s="16" t="n">
        <v>2026</v>
      </c>
      <c r="I156" s="16" t="inlineStr">
        <is>
          <t>Yes</t>
        </is>
      </c>
    </row>
    <row r="157">
      <c r="A157" s="17" t="inlineStr">
        <is>
          <t>SC-Senate-032</t>
        </is>
      </c>
      <c r="B157" s="17" t="inlineStr">
        <is>
          <t>SC Senate District 32</t>
        </is>
      </c>
      <c r="C157" s="17" t="inlineStr">
        <is>
          <t>Senate</t>
        </is>
      </c>
      <c r="D157" s="17" t="n">
        <v>32</v>
      </c>
      <c r="E157" s="17" t="inlineStr">
        <is>
          <t>Ronnie A. Sabb</t>
        </is>
      </c>
      <c r="F157" s="17" t="inlineStr">
        <is>
          <t>Democratic</t>
        </is>
      </c>
      <c r="G157" s="17" t="inlineStr"/>
      <c r="H157" s="17" t="n">
        <v>2026</v>
      </c>
      <c r="I157" s="17" t="inlineStr">
        <is>
          <t>No</t>
        </is>
      </c>
    </row>
    <row r="158">
      <c r="A158" s="16" t="inlineStr">
        <is>
          <t>SC-Senate-033</t>
        </is>
      </c>
      <c r="B158" s="16" t="inlineStr">
        <is>
          <t>SC Senate District 33</t>
        </is>
      </c>
      <c r="C158" s="16" t="inlineStr">
        <is>
          <t>Senate</t>
        </is>
      </c>
      <c r="D158" s="16" t="n">
        <v>33</v>
      </c>
      <c r="E158" s="16" t="inlineStr">
        <is>
          <t>Luke A. Rankin</t>
        </is>
      </c>
      <c r="F158" s="16" t="inlineStr">
        <is>
          <t>Republican</t>
        </is>
      </c>
      <c r="G158" s="16" t="inlineStr"/>
      <c r="H158" s="16" t="n">
        <v>2026</v>
      </c>
      <c r="I158" s="16" t="inlineStr">
        <is>
          <t>Yes</t>
        </is>
      </c>
    </row>
    <row r="159">
      <c r="A159" s="17" t="inlineStr">
        <is>
          <t>SC-Senate-034</t>
        </is>
      </c>
      <c r="B159" s="17" t="inlineStr">
        <is>
          <t>SC Senate District 34</t>
        </is>
      </c>
      <c r="C159" s="17" t="inlineStr">
        <is>
          <t>Senate</t>
        </is>
      </c>
      <c r="D159" s="17" t="n">
        <v>34</v>
      </c>
      <c r="E159" s="17" t="inlineStr">
        <is>
          <t>Stephen L. Goldfinch</t>
        </is>
      </c>
      <c r="F159" s="17" t="inlineStr">
        <is>
          <t>Republican</t>
        </is>
      </c>
      <c r="G159" s="17" t="inlineStr"/>
      <c r="H159" s="17" t="n">
        <v>2026</v>
      </c>
      <c r="I159" s="17" t="inlineStr">
        <is>
          <t>No</t>
        </is>
      </c>
    </row>
    <row r="160">
      <c r="A160" s="16" t="inlineStr">
        <is>
          <t>SC-Senate-035</t>
        </is>
      </c>
      <c r="B160" s="16" t="inlineStr">
        <is>
          <t>SC Senate District 35</t>
        </is>
      </c>
      <c r="C160" s="16" t="inlineStr">
        <is>
          <t>Senate</t>
        </is>
      </c>
      <c r="D160" s="16" t="n">
        <v>35</v>
      </c>
      <c r="E160" s="16" t="inlineStr">
        <is>
          <t>Jeffrey R. Graham</t>
        </is>
      </c>
      <c r="F160" s="16" t="inlineStr">
        <is>
          <t>Democratic</t>
        </is>
      </c>
      <c r="G160" s="16" t="inlineStr"/>
      <c r="H160" s="16" t="n">
        <v>2026</v>
      </c>
      <c r="I160" s="16" t="inlineStr">
        <is>
          <t>Yes</t>
        </is>
      </c>
    </row>
    <row r="161">
      <c r="A161" s="17" t="inlineStr">
        <is>
          <t>SC-Senate-036</t>
        </is>
      </c>
      <c r="B161" s="17" t="inlineStr">
        <is>
          <t>SC Senate District 36</t>
        </is>
      </c>
      <c r="C161" s="17" t="inlineStr">
        <is>
          <t>Senate</t>
        </is>
      </c>
      <c r="D161" s="17" t="n">
        <v>36</v>
      </c>
      <c r="E161" s="17" t="inlineStr">
        <is>
          <t>Jeff Zell</t>
        </is>
      </c>
      <c r="F161" s="17" t="inlineStr">
        <is>
          <t>Republican</t>
        </is>
      </c>
      <c r="G161" s="17" t="inlineStr"/>
      <c r="H161" s="17" t="n">
        <v>2026</v>
      </c>
      <c r="I161" s="17" t="inlineStr">
        <is>
          <t>No</t>
        </is>
      </c>
    </row>
    <row r="162">
      <c r="A162" s="16" t="inlineStr">
        <is>
          <t>SC-Senate-037</t>
        </is>
      </c>
      <c r="B162" s="16" t="inlineStr">
        <is>
          <t>SC Senate District 37</t>
        </is>
      </c>
      <c r="C162" s="16" t="inlineStr">
        <is>
          <t>Senate</t>
        </is>
      </c>
      <c r="D162" s="16" t="n">
        <v>37</v>
      </c>
      <c r="E162" s="16" t="inlineStr">
        <is>
          <t>Lawrence K. "Larry" Grooms</t>
        </is>
      </c>
      <c r="F162" s="16" t="inlineStr">
        <is>
          <t>Republican</t>
        </is>
      </c>
      <c r="G162" s="16" t="inlineStr"/>
      <c r="H162" s="16" t="n">
        <v>2026</v>
      </c>
      <c r="I162" s="16" t="inlineStr">
        <is>
          <t>Yes</t>
        </is>
      </c>
    </row>
    <row r="163">
      <c r="A163" s="17" t="inlineStr">
        <is>
          <t>SC-Senate-038</t>
        </is>
      </c>
      <c r="B163" s="17" t="inlineStr">
        <is>
          <t>SC Senate District 38</t>
        </is>
      </c>
      <c r="C163" s="17" t="inlineStr">
        <is>
          <t>Senate</t>
        </is>
      </c>
      <c r="D163" s="17" t="n">
        <v>38</v>
      </c>
      <c r="E163" s="17" t="inlineStr">
        <is>
          <t>Sean M. Bennett</t>
        </is>
      </c>
      <c r="F163" s="17" t="inlineStr">
        <is>
          <t>Republican</t>
        </is>
      </c>
      <c r="G163" s="17" t="inlineStr"/>
      <c r="H163" s="17" t="n">
        <v>2026</v>
      </c>
      <c r="I163" s="17" t="inlineStr">
        <is>
          <t>No</t>
        </is>
      </c>
    </row>
    <row r="164">
      <c r="A164" s="16" t="inlineStr">
        <is>
          <t>SC-Senate-039</t>
        </is>
      </c>
      <c r="B164" s="16" t="inlineStr">
        <is>
          <t>SC Senate District 39</t>
        </is>
      </c>
      <c r="C164" s="16" t="inlineStr">
        <is>
          <t>Senate</t>
        </is>
      </c>
      <c r="D164" s="16" t="n">
        <v>39</v>
      </c>
      <c r="E164" s="16" t="inlineStr">
        <is>
          <t>Tom Fernandez</t>
        </is>
      </c>
      <c r="F164" s="16" t="inlineStr">
        <is>
          <t>Republican</t>
        </is>
      </c>
      <c r="G164" s="16" t="inlineStr"/>
      <c r="H164" s="16" t="n">
        <v>2026</v>
      </c>
      <c r="I164" s="16" t="inlineStr">
        <is>
          <t>Yes</t>
        </is>
      </c>
    </row>
    <row r="165">
      <c r="A165" s="17" t="inlineStr">
        <is>
          <t>SC-Senate-040</t>
        </is>
      </c>
      <c r="B165" s="17" t="inlineStr">
        <is>
          <t>SC Senate District 40</t>
        </is>
      </c>
      <c r="C165" s="17" t="inlineStr">
        <is>
          <t>Senate</t>
        </is>
      </c>
      <c r="D165" s="17" t="n">
        <v>40</v>
      </c>
      <c r="E165" s="17" t="inlineStr">
        <is>
          <t>Brad Hutto</t>
        </is>
      </c>
      <c r="F165" s="17" t="inlineStr">
        <is>
          <t>Democratic</t>
        </is>
      </c>
      <c r="G165" s="17" t="inlineStr"/>
      <c r="H165" s="17" t="n">
        <v>2026</v>
      </c>
      <c r="I165" s="17" t="inlineStr">
        <is>
          <t>No</t>
        </is>
      </c>
    </row>
    <row r="166">
      <c r="A166" s="16" t="inlineStr">
        <is>
          <t>SC-Senate-041</t>
        </is>
      </c>
      <c r="B166" s="16" t="inlineStr">
        <is>
          <t>SC Senate District 41</t>
        </is>
      </c>
      <c r="C166" s="16" t="inlineStr">
        <is>
          <t>Senate</t>
        </is>
      </c>
      <c r="D166" s="16" t="n">
        <v>41</v>
      </c>
      <c r="E166" s="16" t="inlineStr">
        <is>
          <t>Matthew W. "Matt" Leber</t>
        </is>
      </c>
      <c r="F166" s="16" t="inlineStr">
        <is>
          <t>Republican</t>
        </is>
      </c>
      <c r="G166" s="16" t="inlineStr"/>
      <c r="H166" s="16" t="n">
        <v>2026</v>
      </c>
      <c r="I166" s="16" t="inlineStr">
        <is>
          <t>Yes</t>
        </is>
      </c>
    </row>
    <row r="167">
      <c r="A167" s="17" t="inlineStr">
        <is>
          <t>SC-Senate-042</t>
        </is>
      </c>
      <c r="B167" s="17" t="inlineStr">
        <is>
          <t>SC Senate District 42</t>
        </is>
      </c>
      <c r="C167" s="17" t="inlineStr">
        <is>
          <t>Senate</t>
        </is>
      </c>
      <c r="D167" s="17" t="n">
        <v>42</v>
      </c>
      <c r="E167" s="17" t="inlineStr">
        <is>
          <t>Deon T. Tedder</t>
        </is>
      </c>
      <c r="F167" s="17" t="inlineStr">
        <is>
          <t>Democratic</t>
        </is>
      </c>
      <c r="G167" s="17" t="inlineStr"/>
      <c r="H167" s="17" t="n">
        <v>2026</v>
      </c>
      <c r="I167" s="17" t="inlineStr">
        <is>
          <t>No</t>
        </is>
      </c>
    </row>
    <row r="168">
      <c r="A168" s="16" t="inlineStr">
        <is>
          <t>SC-Senate-043</t>
        </is>
      </c>
      <c r="B168" s="16" t="inlineStr">
        <is>
          <t>SC Senate District 43</t>
        </is>
      </c>
      <c r="C168" s="16" t="inlineStr">
        <is>
          <t>Senate</t>
        </is>
      </c>
      <c r="D168" s="16" t="n">
        <v>43</v>
      </c>
      <c r="E168" s="16" t="inlineStr">
        <is>
          <t>George E. "Chip" Campsen III</t>
        </is>
      </c>
      <c r="F168" s="16" t="inlineStr">
        <is>
          <t>Republican</t>
        </is>
      </c>
      <c r="G168" s="16" t="inlineStr"/>
      <c r="H168" s="16" t="n">
        <v>2026</v>
      </c>
      <c r="I168" s="16" t="inlineStr">
        <is>
          <t>Yes</t>
        </is>
      </c>
    </row>
    <row r="169">
      <c r="A169" s="17" t="inlineStr">
        <is>
          <t>SC-Senate-044</t>
        </is>
      </c>
      <c r="B169" s="17" t="inlineStr">
        <is>
          <t>SC Senate District 44</t>
        </is>
      </c>
      <c r="C169" s="17" t="inlineStr">
        <is>
          <t>Senate</t>
        </is>
      </c>
      <c r="D169" s="17" t="n">
        <v>44</v>
      </c>
      <c r="E169" s="17" t="inlineStr">
        <is>
          <t>Brian Adams</t>
        </is>
      </c>
      <c r="F169" s="17" t="inlineStr">
        <is>
          <t>Republican</t>
        </is>
      </c>
      <c r="G169" s="17" t="inlineStr"/>
      <c r="H169" s="17" t="n">
        <v>2026</v>
      </c>
      <c r="I169" s="17" t="inlineStr">
        <is>
          <t>No</t>
        </is>
      </c>
    </row>
    <row r="170">
      <c r="A170" s="16" t="inlineStr">
        <is>
          <t>SC-Senate-045</t>
        </is>
      </c>
      <c r="B170" s="16" t="inlineStr">
        <is>
          <t>SC Senate District 45</t>
        </is>
      </c>
      <c r="C170" s="16" t="inlineStr">
        <is>
          <t>Senate</t>
        </is>
      </c>
      <c r="D170" s="16" t="n">
        <v>45</v>
      </c>
      <c r="E170" s="16" t="inlineStr">
        <is>
          <t>Margie Bright Matthews</t>
        </is>
      </c>
      <c r="F170" s="16" t="inlineStr">
        <is>
          <t>Democratic</t>
        </is>
      </c>
      <c r="G170" s="16" t="inlineStr"/>
      <c r="H170" s="16" t="n">
        <v>2026</v>
      </c>
      <c r="I170" s="16" t="inlineStr">
        <is>
          <t>Yes</t>
        </is>
      </c>
    </row>
    <row r="171">
      <c r="A171" s="17" t="inlineStr">
        <is>
          <t>SC-Senate-046</t>
        </is>
      </c>
      <c r="B171" s="17" t="inlineStr">
        <is>
          <t>SC Senate District 46</t>
        </is>
      </c>
      <c r="C171" s="17" t="inlineStr">
        <is>
          <t>Senate</t>
        </is>
      </c>
      <c r="D171" s="17" t="n">
        <v>46</v>
      </c>
      <c r="E171" s="17" t="inlineStr">
        <is>
          <t>Tom Davis</t>
        </is>
      </c>
      <c r="F171" s="17" t="inlineStr">
        <is>
          <t>Republican</t>
        </is>
      </c>
      <c r="G171" s="17" t="inlineStr"/>
      <c r="H171" s="17" t="n">
        <v>2026</v>
      </c>
      <c r="I171" s="17" t="inlineStr">
        <is>
          <t>No</t>
        </is>
      </c>
    </row>
  </sheetData>
  <conditionalFormatting sqref="F2:F200">
    <cfRule type="expression" priority="1" dxfId="0">
      <formula>$F2="Republican"</formula>
    </cfRule>
    <cfRule type="expression" priority="2" dxfId="1">
      <formula>$F2="Democratic"</formula>
    </cfRule>
  </conditionalFormatting>
  <dataValidations count="2">
    <dataValidation sqref="C2:C200" showDropDown="0" showInputMessage="0" showErrorMessage="0" allowBlank="1" type="list">
      <formula1>"House,Senate"</formula1>
    </dataValidation>
    <dataValidation sqref="F2:F200" showDropDown="0" showInputMessage="0" showErrorMessage="0" allowBlank="1" type="list">
      <formula1>"Republican,Democratic"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5" customWidth="1" min="2" max="2"/>
    <col width="16" customWidth="1" min="3" max="3"/>
    <col width="12" customWidth="1" min="4" max="4"/>
    <col width="45" customWidth="1" min="5" max="5"/>
    <col width="12" customWidth="1" min="6" max="6"/>
    <col width="14" customWidth="1" min="7" max="7"/>
    <col width="18" customWidth="1" min="8" max="8"/>
    <col width="18" customWidth="1" min="9" max="9"/>
    <col width="40" customWidth="1" min="10" max="10"/>
    <col width="18" customWidth="1" min="11" max="11"/>
    <col width="12" customWidth="1" min="12" max="12"/>
    <col width="14" customWidth="1" min="13" max="13"/>
    <col width="22" customWidth="1" min="14" max="14"/>
    <col width="30" customWidth="1" min="15" max="15"/>
    <col width="22" customWidth="1" min="16" max="16"/>
  </cols>
  <sheetData>
    <row r="1">
      <c r="A1" s="15" t="inlineStr">
        <is>
          <t>report_id</t>
        </is>
      </c>
      <c r="B1" s="15" t="inlineStr">
        <is>
          <t>candidate_name</t>
        </is>
      </c>
      <c r="C1" s="15" t="inlineStr">
        <is>
          <t>district_id</t>
        </is>
      </c>
      <c r="D1" s="15" t="inlineStr">
        <is>
          <t>filed_date</t>
        </is>
      </c>
      <c r="E1" s="15" t="inlineStr">
        <is>
          <t>ethics_report_url</t>
        </is>
      </c>
      <c r="F1" s="15" t="inlineStr">
        <is>
          <t>is_incumbent</t>
        </is>
      </c>
      <c r="G1" s="15" t="inlineStr">
        <is>
          <t>detected_party</t>
        </is>
      </c>
      <c r="H1" s="15" t="inlineStr">
        <is>
          <t>detection_confidence</t>
        </is>
      </c>
      <c r="I1" s="15" t="inlineStr">
        <is>
          <t>detection_source</t>
        </is>
      </c>
      <c r="J1" s="15" t="inlineStr">
        <is>
          <t>detection_evidence_url</t>
        </is>
      </c>
      <c r="K1" s="18" t="inlineStr">
        <is>
          <t>manual_party_override</t>
        </is>
      </c>
      <c r="L1" s="19" t="inlineStr">
        <is>
          <t>final_party</t>
        </is>
      </c>
      <c r="M1" s="18" t="inlineStr">
        <is>
          <t>party_locked</t>
        </is>
      </c>
      <c r="N1" s="15" t="inlineStr">
        <is>
          <t>detection_timestamp</t>
        </is>
      </c>
      <c r="O1" s="18" t="inlineStr">
        <is>
          <t>notes</t>
        </is>
      </c>
      <c r="P1" s="15" t="inlineStr">
        <is>
          <t>last_synced</t>
        </is>
      </c>
    </row>
    <row r="2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20" t="n"/>
      <c r="L2" s="21">
        <f>IF(K2&lt;&gt;"",K2,G2)</f>
        <v/>
      </c>
      <c r="M2" s="20" t="n"/>
      <c r="N2" s="16" t="n"/>
      <c r="O2" s="20" t="n"/>
      <c r="P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20" t="n"/>
      <c r="L3" s="21">
        <f>IF(K3&lt;&gt;"",K3,G3)</f>
        <v/>
      </c>
      <c r="M3" s="20" t="n"/>
      <c r="N3" s="17" t="n"/>
      <c r="O3" s="20" t="n"/>
      <c r="P3" s="17" t="n"/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20" t="n"/>
      <c r="L4" s="21">
        <f>IF(K4&lt;&gt;"",K4,G4)</f>
        <v/>
      </c>
      <c r="M4" s="20" t="n"/>
      <c r="N4" s="16" t="n"/>
      <c r="O4" s="20" t="n"/>
      <c r="P4" s="16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20" t="n"/>
      <c r="L5" s="21">
        <f>IF(K5&lt;&gt;"",K5,G5)</f>
        <v/>
      </c>
      <c r="M5" s="20" t="n"/>
      <c r="N5" s="17" t="n"/>
      <c r="O5" s="20" t="n"/>
      <c r="P5" s="17" t="n"/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20" t="n"/>
      <c r="L6" s="21">
        <f>IF(K6&lt;&gt;"",K6,G6)</f>
        <v/>
      </c>
      <c r="M6" s="20" t="n"/>
      <c r="N6" s="16" t="n"/>
      <c r="O6" s="20" t="n"/>
      <c r="P6" s="16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20" t="n"/>
      <c r="L7" s="21">
        <f>IF(K7&lt;&gt;"",K7,G7)</f>
        <v/>
      </c>
      <c r="M7" s="20" t="n"/>
      <c r="N7" s="17" t="n"/>
      <c r="O7" s="20" t="n"/>
      <c r="P7" s="17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20" t="n"/>
      <c r="L8" s="21">
        <f>IF(K8&lt;&gt;"",K8,G8)</f>
        <v/>
      </c>
      <c r="M8" s="20" t="n"/>
      <c r="N8" s="16" t="n"/>
      <c r="O8" s="20" t="n"/>
      <c r="P8" s="16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20" t="n"/>
      <c r="L9" s="21">
        <f>IF(K9&lt;&gt;"",K9,G9)</f>
        <v/>
      </c>
      <c r="M9" s="20" t="n"/>
      <c r="N9" s="17" t="n"/>
      <c r="O9" s="20" t="n"/>
      <c r="P9" s="17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20" t="n"/>
      <c r="L10" s="21">
        <f>IF(K10&lt;&gt;"",K10,G10)</f>
        <v/>
      </c>
      <c r="M10" s="20" t="n"/>
      <c r="N10" s="16" t="n"/>
      <c r="O10" s="20" t="n"/>
      <c r="P10" s="16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20" t="n"/>
      <c r="L11" s="21">
        <f>IF(K11&lt;&gt;"",K11,G11)</f>
        <v/>
      </c>
      <c r="M11" s="20" t="n"/>
      <c r="N11" s="17" t="n"/>
      <c r="O11" s="20" t="n"/>
      <c r="P11" s="17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20" t="n"/>
      <c r="L12" s="21">
        <f>IF(K12&lt;&gt;"",K12,G12)</f>
        <v/>
      </c>
      <c r="M12" s="20" t="n"/>
      <c r="N12" s="16" t="n"/>
      <c r="O12" s="20" t="n"/>
      <c r="P12" s="16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20" t="n"/>
      <c r="L13" s="21">
        <f>IF(K13&lt;&gt;"",K13,G13)</f>
        <v/>
      </c>
      <c r="M13" s="20" t="n"/>
      <c r="N13" s="17" t="n"/>
      <c r="O13" s="20" t="n"/>
      <c r="P13" s="17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20" t="n"/>
      <c r="L14" s="21">
        <f>IF(K14&lt;&gt;"",K14,G14)</f>
        <v/>
      </c>
      <c r="M14" s="20" t="n"/>
      <c r="N14" s="16" t="n"/>
      <c r="O14" s="20" t="n"/>
      <c r="P14" s="16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20" t="n"/>
      <c r="L15" s="21">
        <f>IF(K15&lt;&gt;"",K15,G15)</f>
        <v/>
      </c>
      <c r="M15" s="20" t="n"/>
      <c r="N15" s="17" t="n"/>
      <c r="O15" s="20" t="n"/>
      <c r="P15" s="17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20" t="n"/>
      <c r="L16" s="21">
        <f>IF(K16&lt;&gt;"",K16,G16)</f>
        <v/>
      </c>
      <c r="M16" s="20" t="n"/>
      <c r="N16" s="16" t="n"/>
      <c r="O16" s="20" t="n"/>
      <c r="P16" s="16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20" t="n"/>
      <c r="L17" s="21">
        <f>IF(K17&lt;&gt;"",K17,G17)</f>
        <v/>
      </c>
      <c r="M17" s="20" t="n"/>
      <c r="N17" s="17" t="n"/>
      <c r="O17" s="20" t="n"/>
      <c r="P17" s="17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20" t="n"/>
      <c r="L18" s="21">
        <f>IF(K18&lt;&gt;"",K18,G18)</f>
        <v/>
      </c>
      <c r="M18" s="20" t="n"/>
      <c r="N18" s="16" t="n"/>
      <c r="O18" s="20" t="n"/>
      <c r="P18" s="16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20" t="n"/>
      <c r="L19" s="21">
        <f>IF(K19&lt;&gt;"",K19,G19)</f>
        <v/>
      </c>
      <c r="M19" s="20" t="n"/>
      <c r="N19" s="17" t="n"/>
      <c r="O19" s="20" t="n"/>
      <c r="P19" s="17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20" t="n"/>
      <c r="L20" s="21">
        <f>IF(K20&lt;&gt;"",K20,G20)</f>
        <v/>
      </c>
      <c r="M20" s="20" t="n"/>
      <c r="N20" s="16" t="n"/>
      <c r="O20" s="20" t="n"/>
      <c r="P20" s="16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20" t="n"/>
      <c r="L21" s="21">
        <f>IF(K21&lt;&gt;"",K21,G21)</f>
        <v/>
      </c>
      <c r="M21" s="20" t="n"/>
      <c r="N21" s="17" t="n"/>
      <c r="O21" s="20" t="n"/>
      <c r="P21" s="17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20" t="n"/>
      <c r="L22" s="21">
        <f>IF(K22&lt;&gt;"",K22,G22)</f>
        <v/>
      </c>
      <c r="M22" s="20" t="n"/>
      <c r="N22" s="16" t="n"/>
      <c r="O22" s="20" t="n"/>
      <c r="P22" s="16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20" t="n"/>
      <c r="L23" s="21">
        <f>IF(K23&lt;&gt;"",K23,G23)</f>
        <v/>
      </c>
      <c r="M23" s="20" t="n"/>
      <c r="N23" s="17" t="n"/>
      <c r="O23" s="20" t="n"/>
      <c r="P23" s="17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20" t="n"/>
      <c r="L24" s="21">
        <f>IF(K24&lt;&gt;"",K24,G24)</f>
        <v/>
      </c>
      <c r="M24" s="20" t="n"/>
      <c r="N24" s="16" t="n"/>
      <c r="O24" s="20" t="n"/>
      <c r="P24" s="16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20" t="n"/>
      <c r="L25" s="21">
        <f>IF(K25&lt;&gt;"",K25,G25)</f>
        <v/>
      </c>
      <c r="M25" s="20" t="n"/>
      <c r="N25" s="17" t="n"/>
      <c r="O25" s="20" t="n"/>
      <c r="P25" s="17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20" t="n"/>
      <c r="L26" s="21">
        <f>IF(K26&lt;&gt;"",K26,G26)</f>
        <v/>
      </c>
      <c r="M26" s="20" t="n"/>
      <c r="N26" s="16" t="n"/>
      <c r="O26" s="20" t="n"/>
      <c r="P26" s="16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20" t="n"/>
      <c r="L27" s="21">
        <f>IF(K27&lt;&gt;"",K27,G27)</f>
        <v/>
      </c>
      <c r="M27" s="20" t="n"/>
      <c r="N27" s="17" t="n"/>
      <c r="O27" s="20" t="n"/>
      <c r="P27" s="17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20" t="n"/>
      <c r="L28" s="21">
        <f>IF(K28&lt;&gt;"",K28,G28)</f>
        <v/>
      </c>
      <c r="M28" s="20" t="n"/>
      <c r="N28" s="16" t="n"/>
      <c r="O28" s="20" t="n"/>
      <c r="P28" s="16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20" t="n"/>
      <c r="L29" s="21">
        <f>IF(K29&lt;&gt;"",K29,G29)</f>
        <v/>
      </c>
      <c r="M29" s="20" t="n"/>
      <c r="N29" s="17" t="n"/>
      <c r="O29" s="20" t="n"/>
      <c r="P29" s="17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20" t="n"/>
      <c r="L30" s="21">
        <f>IF(K30&lt;&gt;"",K30,G30)</f>
        <v/>
      </c>
      <c r="M30" s="20" t="n"/>
      <c r="N30" s="16" t="n"/>
      <c r="O30" s="20" t="n"/>
      <c r="P30" s="16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20" t="n"/>
      <c r="L31" s="21">
        <f>IF(K31&lt;&gt;"",K31,G31)</f>
        <v/>
      </c>
      <c r="M31" s="20" t="n"/>
      <c r="N31" s="17" t="n"/>
      <c r="O31" s="20" t="n"/>
      <c r="P31" s="17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20" t="n"/>
      <c r="L32" s="21">
        <f>IF(K32&lt;&gt;"",K32,G32)</f>
        <v/>
      </c>
      <c r="M32" s="20" t="n"/>
      <c r="N32" s="16" t="n"/>
      <c r="O32" s="20" t="n"/>
      <c r="P32" s="16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20" t="n"/>
      <c r="L33" s="21">
        <f>IF(K33&lt;&gt;"",K33,G33)</f>
        <v/>
      </c>
      <c r="M33" s="20" t="n"/>
      <c r="N33" s="17" t="n"/>
      <c r="O33" s="20" t="n"/>
      <c r="P33" s="17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20" t="n"/>
      <c r="L34" s="21">
        <f>IF(K34&lt;&gt;"",K34,G34)</f>
        <v/>
      </c>
      <c r="M34" s="20" t="n"/>
      <c r="N34" s="16" t="n"/>
      <c r="O34" s="20" t="n"/>
      <c r="P34" s="16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20" t="n"/>
      <c r="L35" s="21">
        <f>IF(K35&lt;&gt;"",K35,G35)</f>
        <v/>
      </c>
      <c r="M35" s="20" t="n"/>
      <c r="N35" s="17" t="n"/>
      <c r="O35" s="20" t="n"/>
      <c r="P35" s="17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20" t="n"/>
      <c r="L36" s="21">
        <f>IF(K36&lt;&gt;"",K36,G36)</f>
        <v/>
      </c>
      <c r="M36" s="20" t="n"/>
      <c r="N36" s="16" t="n"/>
      <c r="O36" s="20" t="n"/>
      <c r="P36" s="16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20" t="n"/>
      <c r="L37" s="21">
        <f>IF(K37&lt;&gt;"",K37,G37)</f>
        <v/>
      </c>
      <c r="M37" s="20" t="n"/>
      <c r="N37" s="17" t="n"/>
      <c r="O37" s="20" t="n"/>
      <c r="P37" s="17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20" t="n"/>
      <c r="L38" s="21">
        <f>IF(K38&lt;&gt;"",K38,G38)</f>
        <v/>
      </c>
      <c r="M38" s="20" t="n"/>
      <c r="N38" s="16" t="n"/>
      <c r="O38" s="20" t="n"/>
      <c r="P38" s="16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20" t="n"/>
      <c r="L39" s="21">
        <f>IF(K39&lt;&gt;"",K39,G39)</f>
        <v/>
      </c>
      <c r="M39" s="20" t="n"/>
      <c r="N39" s="17" t="n"/>
      <c r="O39" s="20" t="n"/>
      <c r="P39" s="17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20" t="n"/>
      <c r="L40" s="21">
        <f>IF(K40&lt;&gt;"",K40,G40)</f>
        <v/>
      </c>
      <c r="M40" s="20" t="n"/>
      <c r="N40" s="16" t="n"/>
      <c r="O40" s="20" t="n"/>
      <c r="P40" s="16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20" t="n"/>
      <c r="L41" s="21">
        <f>IF(K41&lt;&gt;"",K41,G41)</f>
        <v/>
      </c>
      <c r="M41" s="20" t="n"/>
      <c r="N41" s="17" t="n"/>
      <c r="O41" s="20" t="n"/>
      <c r="P41" s="17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20" t="n"/>
      <c r="L42" s="21">
        <f>IF(K42&lt;&gt;"",K42,G42)</f>
        <v/>
      </c>
      <c r="M42" s="20" t="n"/>
      <c r="N42" s="16" t="n"/>
      <c r="O42" s="20" t="n"/>
      <c r="P42" s="16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20" t="n"/>
      <c r="L43" s="21">
        <f>IF(K43&lt;&gt;"",K43,G43)</f>
        <v/>
      </c>
      <c r="M43" s="20" t="n"/>
      <c r="N43" s="17" t="n"/>
      <c r="O43" s="20" t="n"/>
      <c r="P43" s="17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20" t="n"/>
      <c r="L44" s="21">
        <f>IF(K44&lt;&gt;"",K44,G44)</f>
        <v/>
      </c>
      <c r="M44" s="20" t="n"/>
      <c r="N44" s="16" t="n"/>
      <c r="O44" s="20" t="n"/>
      <c r="P44" s="16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20" t="n"/>
      <c r="L45" s="21">
        <f>IF(K45&lt;&gt;"",K45,G45)</f>
        <v/>
      </c>
      <c r="M45" s="20" t="n"/>
      <c r="N45" s="17" t="n"/>
      <c r="O45" s="20" t="n"/>
      <c r="P45" s="17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20" t="n"/>
      <c r="L46" s="21">
        <f>IF(K46&lt;&gt;"",K46,G46)</f>
        <v/>
      </c>
      <c r="M46" s="20" t="n"/>
      <c r="N46" s="16" t="n"/>
      <c r="O46" s="20" t="n"/>
      <c r="P46" s="16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20" t="n"/>
      <c r="L47" s="21">
        <f>IF(K47&lt;&gt;"",K47,G47)</f>
        <v/>
      </c>
      <c r="M47" s="20" t="n"/>
      <c r="N47" s="17" t="n"/>
      <c r="O47" s="20" t="n"/>
      <c r="P47" s="17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20" t="n"/>
      <c r="L48" s="21">
        <f>IF(K48&lt;&gt;"",K48,G48)</f>
        <v/>
      </c>
      <c r="M48" s="20" t="n"/>
      <c r="N48" s="16" t="n"/>
      <c r="O48" s="20" t="n"/>
      <c r="P48" s="16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20" t="n"/>
      <c r="L49" s="21">
        <f>IF(K49&lt;&gt;"",K49,G49)</f>
        <v/>
      </c>
      <c r="M49" s="20" t="n"/>
      <c r="N49" s="17" t="n"/>
      <c r="O49" s="20" t="n"/>
      <c r="P49" s="17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20" t="n"/>
      <c r="L50" s="21">
        <f>IF(K50&lt;&gt;"",K50,G50)</f>
        <v/>
      </c>
      <c r="M50" s="20" t="n"/>
      <c r="N50" s="16" t="n"/>
      <c r="O50" s="20" t="n"/>
      <c r="P50" s="16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20" t="n"/>
      <c r="L51" s="21">
        <f>IF(K51&lt;&gt;"",K51,G51)</f>
        <v/>
      </c>
      <c r="M51" s="20" t="n"/>
      <c r="N51" s="17" t="n"/>
      <c r="O51" s="20" t="n"/>
      <c r="P51" s="17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20" t="n"/>
      <c r="L52" s="21">
        <f>IF(K52&lt;&gt;"",K52,G52)</f>
        <v/>
      </c>
      <c r="M52" s="20" t="n"/>
      <c r="N52" s="16" t="n"/>
      <c r="O52" s="20" t="n"/>
      <c r="P52" s="16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20" t="n"/>
      <c r="L53" s="21">
        <f>IF(K53&lt;&gt;"",K53,G53)</f>
        <v/>
      </c>
      <c r="M53" s="20" t="n"/>
      <c r="N53" s="17" t="n"/>
      <c r="O53" s="20" t="n"/>
      <c r="P53" s="17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20" t="n"/>
      <c r="L54" s="21">
        <f>IF(K54&lt;&gt;"",K54,G54)</f>
        <v/>
      </c>
      <c r="M54" s="20" t="n"/>
      <c r="N54" s="16" t="n"/>
      <c r="O54" s="20" t="n"/>
      <c r="P54" s="16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20" t="n"/>
      <c r="L55" s="21">
        <f>IF(K55&lt;&gt;"",K55,G55)</f>
        <v/>
      </c>
      <c r="M55" s="20" t="n"/>
      <c r="N55" s="17" t="n"/>
      <c r="O55" s="20" t="n"/>
      <c r="P55" s="17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20" t="n"/>
      <c r="L56" s="21">
        <f>IF(K56&lt;&gt;"",K56,G56)</f>
        <v/>
      </c>
      <c r="M56" s="20" t="n"/>
      <c r="N56" s="16" t="n"/>
      <c r="O56" s="20" t="n"/>
      <c r="P56" s="16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20" t="n"/>
      <c r="L57" s="21">
        <f>IF(K57&lt;&gt;"",K57,G57)</f>
        <v/>
      </c>
      <c r="M57" s="20" t="n"/>
      <c r="N57" s="17" t="n"/>
      <c r="O57" s="20" t="n"/>
      <c r="P57" s="17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20" t="n"/>
      <c r="L58" s="21">
        <f>IF(K58&lt;&gt;"",K58,G58)</f>
        <v/>
      </c>
      <c r="M58" s="20" t="n"/>
      <c r="N58" s="16" t="n"/>
      <c r="O58" s="20" t="n"/>
      <c r="P58" s="16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20" t="n"/>
      <c r="L59" s="21">
        <f>IF(K59&lt;&gt;"",K59,G59)</f>
        <v/>
      </c>
      <c r="M59" s="20" t="n"/>
      <c r="N59" s="17" t="n"/>
      <c r="O59" s="20" t="n"/>
      <c r="P59" s="17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20" t="n"/>
      <c r="L60" s="21">
        <f>IF(K60&lt;&gt;"",K60,G60)</f>
        <v/>
      </c>
      <c r="M60" s="20" t="n"/>
      <c r="N60" s="16" t="n"/>
      <c r="O60" s="20" t="n"/>
      <c r="P60" s="16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20" t="n"/>
      <c r="L61" s="21">
        <f>IF(K61&lt;&gt;"",K61,G61)</f>
        <v/>
      </c>
      <c r="M61" s="20" t="n"/>
      <c r="N61" s="17" t="n"/>
      <c r="O61" s="20" t="n"/>
      <c r="P61" s="17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20" t="n"/>
      <c r="L62" s="21">
        <f>IF(K62&lt;&gt;"",K62,G62)</f>
        <v/>
      </c>
      <c r="M62" s="20" t="n"/>
      <c r="N62" s="16" t="n"/>
      <c r="O62" s="20" t="n"/>
      <c r="P62" s="16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20" t="n"/>
      <c r="L63" s="21">
        <f>IF(K63&lt;&gt;"",K63,G63)</f>
        <v/>
      </c>
      <c r="M63" s="20" t="n"/>
      <c r="N63" s="17" t="n"/>
      <c r="O63" s="20" t="n"/>
      <c r="P63" s="17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20" t="n"/>
      <c r="L64" s="21">
        <f>IF(K64&lt;&gt;"",K64,G64)</f>
        <v/>
      </c>
      <c r="M64" s="20" t="n"/>
      <c r="N64" s="16" t="n"/>
      <c r="O64" s="20" t="n"/>
      <c r="P64" s="16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20" t="n"/>
      <c r="L65" s="21">
        <f>IF(K65&lt;&gt;"",K65,G65)</f>
        <v/>
      </c>
      <c r="M65" s="20" t="n"/>
      <c r="N65" s="17" t="n"/>
      <c r="O65" s="20" t="n"/>
      <c r="P65" s="17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20" t="n"/>
      <c r="L66" s="21">
        <f>IF(K66&lt;&gt;"",K66,G66)</f>
        <v/>
      </c>
      <c r="M66" s="20" t="n"/>
      <c r="N66" s="16" t="n"/>
      <c r="O66" s="20" t="n"/>
      <c r="P66" s="16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20" t="n"/>
      <c r="L67" s="21">
        <f>IF(K67&lt;&gt;"",K67,G67)</f>
        <v/>
      </c>
      <c r="M67" s="20" t="n"/>
      <c r="N67" s="17" t="n"/>
      <c r="O67" s="20" t="n"/>
      <c r="P67" s="17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20" t="n"/>
      <c r="L68" s="21">
        <f>IF(K68&lt;&gt;"",K68,G68)</f>
        <v/>
      </c>
      <c r="M68" s="20" t="n"/>
      <c r="N68" s="16" t="n"/>
      <c r="O68" s="20" t="n"/>
      <c r="P68" s="16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20" t="n"/>
      <c r="L69" s="21">
        <f>IF(K69&lt;&gt;"",K69,G69)</f>
        <v/>
      </c>
      <c r="M69" s="20" t="n"/>
      <c r="N69" s="17" t="n"/>
      <c r="O69" s="20" t="n"/>
      <c r="P69" s="17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20" t="n"/>
      <c r="L70" s="21">
        <f>IF(K70&lt;&gt;"",K70,G70)</f>
        <v/>
      </c>
      <c r="M70" s="20" t="n"/>
      <c r="N70" s="16" t="n"/>
      <c r="O70" s="20" t="n"/>
      <c r="P70" s="16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20" t="n"/>
      <c r="L71" s="21">
        <f>IF(K71&lt;&gt;"",K71,G71)</f>
        <v/>
      </c>
      <c r="M71" s="20" t="n"/>
      <c r="N71" s="17" t="n"/>
      <c r="O71" s="20" t="n"/>
      <c r="P71" s="17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20" t="n"/>
      <c r="L72" s="21">
        <f>IF(K72&lt;&gt;"",K72,G72)</f>
        <v/>
      </c>
      <c r="M72" s="20" t="n"/>
      <c r="N72" s="16" t="n"/>
      <c r="O72" s="20" t="n"/>
      <c r="P72" s="16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20" t="n"/>
      <c r="L73" s="21">
        <f>IF(K73&lt;&gt;"",K73,G73)</f>
        <v/>
      </c>
      <c r="M73" s="20" t="n"/>
      <c r="N73" s="17" t="n"/>
      <c r="O73" s="20" t="n"/>
      <c r="P73" s="17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20" t="n"/>
      <c r="L74" s="21">
        <f>IF(K74&lt;&gt;"",K74,G74)</f>
        <v/>
      </c>
      <c r="M74" s="20" t="n"/>
      <c r="N74" s="16" t="n"/>
      <c r="O74" s="20" t="n"/>
      <c r="P74" s="16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20" t="n"/>
      <c r="L75" s="21">
        <f>IF(K75&lt;&gt;"",K75,G75)</f>
        <v/>
      </c>
      <c r="M75" s="20" t="n"/>
      <c r="N75" s="17" t="n"/>
      <c r="O75" s="20" t="n"/>
      <c r="P75" s="17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20" t="n"/>
      <c r="L76" s="21">
        <f>IF(K76&lt;&gt;"",K76,G76)</f>
        <v/>
      </c>
      <c r="M76" s="20" t="n"/>
      <c r="N76" s="16" t="n"/>
      <c r="O76" s="20" t="n"/>
      <c r="P76" s="16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20" t="n"/>
      <c r="L77" s="21">
        <f>IF(K77&lt;&gt;"",K77,G77)</f>
        <v/>
      </c>
      <c r="M77" s="20" t="n"/>
      <c r="N77" s="17" t="n"/>
      <c r="O77" s="20" t="n"/>
      <c r="P77" s="17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20" t="n"/>
      <c r="L78" s="21">
        <f>IF(K78&lt;&gt;"",K78,G78)</f>
        <v/>
      </c>
      <c r="M78" s="20" t="n"/>
      <c r="N78" s="16" t="n"/>
      <c r="O78" s="20" t="n"/>
      <c r="P78" s="16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20" t="n"/>
      <c r="L79" s="21">
        <f>IF(K79&lt;&gt;"",K79,G79)</f>
        <v/>
      </c>
      <c r="M79" s="20" t="n"/>
      <c r="N79" s="17" t="n"/>
      <c r="O79" s="20" t="n"/>
      <c r="P79" s="17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20" t="n"/>
      <c r="L80" s="21">
        <f>IF(K80&lt;&gt;"",K80,G80)</f>
        <v/>
      </c>
      <c r="M80" s="20" t="n"/>
      <c r="N80" s="16" t="n"/>
      <c r="O80" s="20" t="n"/>
      <c r="P80" s="16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20" t="n"/>
      <c r="L81" s="21">
        <f>IF(K81&lt;&gt;"",K81,G81)</f>
        <v/>
      </c>
      <c r="M81" s="20" t="n"/>
      <c r="N81" s="17" t="n"/>
      <c r="O81" s="20" t="n"/>
      <c r="P81" s="17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20" t="n"/>
      <c r="L82" s="21">
        <f>IF(K82&lt;&gt;"",K82,G82)</f>
        <v/>
      </c>
      <c r="M82" s="20" t="n"/>
      <c r="N82" s="16" t="n"/>
      <c r="O82" s="20" t="n"/>
      <c r="P82" s="16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20" t="n"/>
      <c r="L83" s="21">
        <f>IF(K83&lt;&gt;"",K83,G83)</f>
        <v/>
      </c>
      <c r="M83" s="20" t="n"/>
      <c r="N83" s="17" t="n"/>
      <c r="O83" s="20" t="n"/>
      <c r="P83" s="17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20" t="n"/>
      <c r="L84" s="21">
        <f>IF(K84&lt;&gt;"",K84,G84)</f>
        <v/>
      </c>
      <c r="M84" s="20" t="n"/>
      <c r="N84" s="16" t="n"/>
      <c r="O84" s="20" t="n"/>
      <c r="P84" s="16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20" t="n"/>
      <c r="L85" s="21">
        <f>IF(K85&lt;&gt;"",K85,G85)</f>
        <v/>
      </c>
      <c r="M85" s="20" t="n"/>
      <c r="N85" s="17" t="n"/>
      <c r="O85" s="20" t="n"/>
      <c r="P85" s="17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20" t="n"/>
      <c r="L86" s="21">
        <f>IF(K86&lt;&gt;"",K86,G86)</f>
        <v/>
      </c>
      <c r="M86" s="20" t="n"/>
      <c r="N86" s="16" t="n"/>
      <c r="O86" s="20" t="n"/>
      <c r="P86" s="16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20" t="n"/>
      <c r="L87" s="21">
        <f>IF(K87&lt;&gt;"",K87,G87)</f>
        <v/>
      </c>
      <c r="M87" s="20" t="n"/>
      <c r="N87" s="17" t="n"/>
      <c r="O87" s="20" t="n"/>
      <c r="P87" s="17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20" t="n"/>
      <c r="L88" s="21">
        <f>IF(K88&lt;&gt;"",K88,G88)</f>
        <v/>
      </c>
      <c r="M88" s="20" t="n"/>
      <c r="N88" s="16" t="n"/>
      <c r="O88" s="20" t="n"/>
      <c r="P88" s="16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20" t="n"/>
      <c r="L89" s="21">
        <f>IF(K89&lt;&gt;"",K89,G89)</f>
        <v/>
      </c>
      <c r="M89" s="20" t="n"/>
      <c r="N89" s="17" t="n"/>
      <c r="O89" s="20" t="n"/>
      <c r="P89" s="17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20" t="n"/>
      <c r="L90" s="21">
        <f>IF(K90&lt;&gt;"",K90,G90)</f>
        <v/>
      </c>
      <c r="M90" s="20" t="n"/>
      <c r="N90" s="16" t="n"/>
      <c r="O90" s="20" t="n"/>
      <c r="P90" s="16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20" t="n"/>
      <c r="L91" s="21">
        <f>IF(K91&lt;&gt;"",K91,G91)</f>
        <v/>
      </c>
      <c r="M91" s="20" t="n"/>
      <c r="N91" s="17" t="n"/>
      <c r="O91" s="20" t="n"/>
      <c r="P91" s="17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20" t="n"/>
      <c r="L92" s="21">
        <f>IF(K92&lt;&gt;"",K92,G92)</f>
        <v/>
      </c>
      <c r="M92" s="20" t="n"/>
      <c r="N92" s="16" t="n"/>
      <c r="O92" s="20" t="n"/>
      <c r="P92" s="16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20" t="n"/>
      <c r="L93" s="21">
        <f>IF(K93&lt;&gt;"",K93,G93)</f>
        <v/>
      </c>
      <c r="M93" s="20" t="n"/>
      <c r="N93" s="17" t="n"/>
      <c r="O93" s="20" t="n"/>
      <c r="P93" s="17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20" t="n"/>
      <c r="L94" s="21">
        <f>IF(K94&lt;&gt;"",K94,G94)</f>
        <v/>
      </c>
      <c r="M94" s="20" t="n"/>
      <c r="N94" s="16" t="n"/>
      <c r="O94" s="20" t="n"/>
      <c r="P94" s="16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20" t="n"/>
      <c r="L95" s="21">
        <f>IF(K95&lt;&gt;"",K95,G95)</f>
        <v/>
      </c>
      <c r="M95" s="20" t="n"/>
      <c r="N95" s="17" t="n"/>
      <c r="O95" s="20" t="n"/>
      <c r="P95" s="17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20" t="n"/>
      <c r="L96" s="21">
        <f>IF(K96&lt;&gt;"",K96,G96)</f>
        <v/>
      </c>
      <c r="M96" s="20" t="n"/>
      <c r="N96" s="16" t="n"/>
      <c r="O96" s="20" t="n"/>
      <c r="P96" s="16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20" t="n"/>
      <c r="L97" s="21">
        <f>IF(K97&lt;&gt;"",K97,G97)</f>
        <v/>
      </c>
      <c r="M97" s="20" t="n"/>
      <c r="N97" s="17" t="n"/>
      <c r="O97" s="20" t="n"/>
      <c r="P97" s="17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20" t="n"/>
      <c r="L98" s="21">
        <f>IF(K98&lt;&gt;"",K98,G98)</f>
        <v/>
      </c>
      <c r="M98" s="20" t="n"/>
      <c r="N98" s="16" t="n"/>
      <c r="O98" s="20" t="n"/>
      <c r="P98" s="16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20" t="n"/>
      <c r="L99" s="21">
        <f>IF(K99&lt;&gt;"",K99,G99)</f>
        <v/>
      </c>
      <c r="M99" s="20" t="n"/>
      <c r="N99" s="17" t="n"/>
      <c r="O99" s="20" t="n"/>
      <c r="P99" s="17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20" t="n"/>
      <c r="L100" s="21">
        <f>IF(K100&lt;&gt;"",K100,G100)</f>
        <v/>
      </c>
      <c r="M100" s="20" t="n"/>
      <c r="N100" s="16" t="n"/>
      <c r="O100" s="20" t="n"/>
      <c r="P100" s="16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20" t="n"/>
      <c r="L101" s="21">
        <f>IF(K101&lt;&gt;"",K101,G101)</f>
        <v/>
      </c>
      <c r="M101" s="20" t="n"/>
      <c r="N101" s="17" t="n"/>
      <c r="O101" s="20" t="n"/>
      <c r="P101" s="17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20" t="n"/>
      <c r="L102" s="21">
        <f>IF(K102&lt;&gt;"",K102,G102)</f>
        <v/>
      </c>
      <c r="M102" s="20" t="n"/>
      <c r="N102" s="16" t="n"/>
      <c r="O102" s="20" t="n"/>
      <c r="P102" s="16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20" t="n"/>
      <c r="L103" s="21">
        <f>IF(K103&lt;&gt;"",K103,G103)</f>
        <v/>
      </c>
      <c r="M103" s="20" t="n"/>
      <c r="N103" s="17" t="n"/>
      <c r="O103" s="20" t="n"/>
      <c r="P103" s="17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20" t="n"/>
      <c r="L104" s="21">
        <f>IF(K104&lt;&gt;"",K104,G104)</f>
        <v/>
      </c>
      <c r="M104" s="20" t="n"/>
      <c r="N104" s="16" t="n"/>
      <c r="O104" s="20" t="n"/>
      <c r="P104" s="16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20" t="n"/>
      <c r="L105" s="21">
        <f>IF(K105&lt;&gt;"",K105,G105)</f>
        <v/>
      </c>
      <c r="M105" s="20" t="n"/>
      <c r="N105" s="17" t="n"/>
      <c r="O105" s="20" t="n"/>
      <c r="P105" s="17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20" t="n"/>
      <c r="L106" s="21">
        <f>IF(K106&lt;&gt;"",K106,G106)</f>
        <v/>
      </c>
      <c r="M106" s="20" t="n"/>
      <c r="N106" s="16" t="n"/>
      <c r="O106" s="20" t="n"/>
      <c r="P106" s="16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20" t="n"/>
      <c r="L107" s="21">
        <f>IF(K107&lt;&gt;"",K107,G107)</f>
        <v/>
      </c>
      <c r="M107" s="20" t="n"/>
      <c r="N107" s="17" t="n"/>
      <c r="O107" s="20" t="n"/>
      <c r="P107" s="17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20" t="n"/>
      <c r="L108" s="21">
        <f>IF(K108&lt;&gt;"",K108,G108)</f>
        <v/>
      </c>
      <c r="M108" s="20" t="n"/>
      <c r="N108" s="16" t="n"/>
      <c r="O108" s="20" t="n"/>
      <c r="P108" s="16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20" t="n"/>
      <c r="L109" s="21">
        <f>IF(K109&lt;&gt;"",K109,G109)</f>
        <v/>
      </c>
      <c r="M109" s="20" t="n"/>
      <c r="N109" s="17" t="n"/>
      <c r="O109" s="20" t="n"/>
      <c r="P109" s="17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20" t="n"/>
      <c r="L110" s="21">
        <f>IF(K110&lt;&gt;"",K110,G110)</f>
        <v/>
      </c>
      <c r="M110" s="20" t="n"/>
      <c r="N110" s="16" t="n"/>
      <c r="O110" s="20" t="n"/>
      <c r="P110" s="16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20" t="n"/>
      <c r="L111" s="21">
        <f>IF(K111&lt;&gt;"",K111,G111)</f>
        <v/>
      </c>
      <c r="M111" s="20" t="n"/>
      <c r="N111" s="17" t="n"/>
      <c r="O111" s="20" t="n"/>
      <c r="P111" s="17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20" t="n"/>
      <c r="L112" s="21">
        <f>IF(K112&lt;&gt;"",K112,G112)</f>
        <v/>
      </c>
      <c r="M112" s="20" t="n"/>
      <c r="N112" s="16" t="n"/>
      <c r="O112" s="20" t="n"/>
      <c r="P112" s="16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20" t="n"/>
      <c r="L113" s="21">
        <f>IF(K113&lt;&gt;"",K113,G113)</f>
        <v/>
      </c>
      <c r="M113" s="20" t="n"/>
      <c r="N113" s="17" t="n"/>
      <c r="O113" s="20" t="n"/>
      <c r="P113" s="17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20" t="n"/>
      <c r="L114" s="21">
        <f>IF(K114&lt;&gt;"",K114,G114)</f>
        <v/>
      </c>
      <c r="M114" s="20" t="n"/>
      <c r="N114" s="16" t="n"/>
      <c r="O114" s="20" t="n"/>
      <c r="P114" s="16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20" t="n"/>
      <c r="L115" s="21">
        <f>IF(K115&lt;&gt;"",K115,G115)</f>
        <v/>
      </c>
      <c r="M115" s="20" t="n"/>
      <c r="N115" s="17" t="n"/>
      <c r="O115" s="20" t="n"/>
      <c r="P115" s="17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20" t="n"/>
      <c r="L116" s="21">
        <f>IF(K116&lt;&gt;"",K116,G116)</f>
        <v/>
      </c>
      <c r="M116" s="20" t="n"/>
      <c r="N116" s="16" t="n"/>
      <c r="O116" s="20" t="n"/>
      <c r="P116" s="16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20" t="n"/>
      <c r="L117" s="21">
        <f>IF(K117&lt;&gt;"",K117,G117)</f>
        <v/>
      </c>
      <c r="M117" s="20" t="n"/>
      <c r="N117" s="17" t="n"/>
      <c r="O117" s="20" t="n"/>
      <c r="P117" s="17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20" t="n"/>
      <c r="L118" s="21">
        <f>IF(K118&lt;&gt;"",K118,G118)</f>
        <v/>
      </c>
      <c r="M118" s="20" t="n"/>
      <c r="N118" s="16" t="n"/>
      <c r="O118" s="20" t="n"/>
      <c r="P118" s="16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20" t="n"/>
      <c r="L119" s="21">
        <f>IF(K119&lt;&gt;"",K119,G119)</f>
        <v/>
      </c>
      <c r="M119" s="20" t="n"/>
      <c r="N119" s="17" t="n"/>
      <c r="O119" s="20" t="n"/>
      <c r="P119" s="17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20" t="n"/>
      <c r="L120" s="21">
        <f>IF(K120&lt;&gt;"",K120,G120)</f>
        <v/>
      </c>
      <c r="M120" s="20" t="n"/>
      <c r="N120" s="16" t="n"/>
      <c r="O120" s="20" t="n"/>
      <c r="P120" s="16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20" t="n"/>
      <c r="L121" s="21">
        <f>IF(K121&lt;&gt;"",K121,G121)</f>
        <v/>
      </c>
      <c r="M121" s="20" t="n"/>
      <c r="N121" s="17" t="n"/>
      <c r="O121" s="20" t="n"/>
      <c r="P121" s="17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20" t="n"/>
      <c r="L122" s="21">
        <f>IF(K122&lt;&gt;"",K122,G122)</f>
        <v/>
      </c>
      <c r="M122" s="20" t="n"/>
      <c r="N122" s="16" t="n"/>
      <c r="O122" s="20" t="n"/>
      <c r="P122" s="16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20" t="n"/>
      <c r="L123" s="21">
        <f>IF(K123&lt;&gt;"",K123,G123)</f>
        <v/>
      </c>
      <c r="M123" s="20" t="n"/>
      <c r="N123" s="17" t="n"/>
      <c r="O123" s="20" t="n"/>
      <c r="P123" s="17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20" t="n"/>
      <c r="L124" s="21">
        <f>IF(K124&lt;&gt;"",K124,G124)</f>
        <v/>
      </c>
      <c r="M124" s="20" t="n"/>
      <c r="N124" s="16" t="n"/>
      <c r="O124" s="20" t="n"/>
      <c r="P124" s="16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20" t="n"/>
      <c r="L125" s="21">
        <f>IF(K125&lt;&gt;"",K125,G125)</f>
        <v/>
      </c>
      <c r="M125" s="20" t="n"/>
      <c r="N125" s="17" t="n"/>
      <c r="O125" s="20" t="n"/>
      <c r="P125" s="17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20" t="n"/>
      <c r="L126" s="21">
        <f>IF(K126&lt;&gt;"",K126,G126)</f>
        <v/>
      </c>
      <c r="M126" s="20" t="n"/>
      <c r="N126" s="16" t="n"/>
      <c r="O126" s="20" t="n"/>
      <c r="P126" s="16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20" t="n"/>
      <c r="L127" s="21">
        <f>IF(K127&lt;&gt;"",K127,G127)</f>
        <v/>
      </c>
      <c r="M127" s="20" t="n"/>
      <c r="N127" s="17" t="n"/>
      <c r="O127" s="20" t="n"/>
      <c r="P127" s="17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20" t="n"/>
      <c r="L128" s="21">
        <f>IF(K128&lt;&gt;"",K128,G128)</f>
        <v/>
      </c>
      <c r="M128" s="20" t="n"/>
      <c r="N128" s="16" t="n"/>
      <c r="O128" s="20" t="n"/>
      <c r="P128" s="16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20" t="n"/>
      <c r="L129" s="21">
        <f>IF(K129&lt;&gt;"",K129,G129)</f>
        <v/>
      </c>
      <c r="M129" s="20" t="n"/>
      <c r="N129" s="17" t="n"/>
      <c r="O129" s="20" t="n"/>
      <c r="P129" s="17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20" t="n"/>
      <c r="L130" s="21">
        <f>IF(K130&lt;&gt;"",K130,G130)</f>
        <v/>
      </c>
      <c r="M130" s="20" t="n"/>
      <c r="N130" s="16" t="n"/>
      <c r="O130" s="20" t="n"/>
      <c r="P130" s="16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20" t="n"/>
      <c r="L131" s="21">
        <f>IF(K131&lt;&gt;"",K131,G131)</f>
        <v/>
      </c>
      <c r="M131" s="20" t="n"/>
      <c r="N131" s="17" t="n"/>
      <c r="O131" s="20" t="n"/>
      <c r="P131" s="17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20" t="n"/>
      <c r="L132" s="21">
        <f>IF(K132&lt;&gt;"",K132,G132)</f>
        <v/>
      </c>
      <c r="M132" s="20" t="n"/>
      <c r="N132" s="16" t="n"/>
      <c r="O132" s="20" t="n"/>
      <c r="P132" s="16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20" t="n"/>
      <c r="L133" s="21">
        <f>IF(K133&lt;&gt;"",K133,G133)</f>
        <v/>
      </c>
      <c r="M133" s="20" t="n"/>
      <c r="N133" s="17" t="n"/>
      <c r="O133" s="20" t="n"/>
      <c r="P133" s="17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20" t="n"/>
      <c r="L134" s="21">
        <f>IF(K134&lt;&gt;"",K134,G134)</f>
        <v/>
      </c>
      <c r="M134" s="20" t="n"/>
      <c r="N134" s="16" t="n"/>
      <c r="O134" s="20" t="n"/>
      <c r="P134" s="16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20" t="n"/>
      <c r="L135" s="21">
        <f>IF(K135&lt;&gt;"",K135,G135)</f>
        <v/>
      </c>
      <c r="M135" s="20" t="n"/>
      <c r="N135" s="17" t="n"/>
      <c r="O135" s="20" t="n"/>
      <c r="P135" s="17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20" t="n"/>
      <c r="L136" s="21">
        <f>IF(K136&lt;&gt;"",K136,G136)</f>
        <v/>
      </c>
      <c r="M136" s="20" t="n"/>
      <c r="N136" s="16" t="n"/>
      <c r="O136" s="20" t="n"/>
      <c r="P136" s="16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20" t="n"/>
      <c r="L137" s="21">
        <f>IF(K137&lt;&gt;"",K137,G137)</f>
        <v/>
      </c>
      <c r="M137" s="20" t="n"/>
      <c r="N137" s="17" t="n"/>
      <c r="O137" s="20" t="n"/>
      <c r="P137" s="17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20" t="n"/>
      <c r="L138" s="21">
        <f>IF(K138&lt;&gt;"",K138,G138)</f>
        <v/>
      </c>
      <c r="M138" s="20" t="n"/>
      <c r="N138" s="16" t="n"/>
      <c r="O138" s="20" t="n"/>
      <c r="P138" s="16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20" t="n"/>
      <c r="L139" s="21">
        <f>IF(K139&lt;&gt;"",K139,G139)</f>
        <v/>
      </c>
      <c r="M139" s="20" t="n"/>
      <c r="N139" s="17" t="n"/>
      <c r="O139" s="20" t="n"/>
      <c r="P139" s="17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20" t="n"/>
      <c r="L140" s="21">
        <f>IF(K140&lt;&gt;"",K140,G140)</f>
        <v/>
      </c>
      <c r="M140" s="20" t="n"/>
      <c r="N140" s="16" t="n"/>
      <c r="O140" s="20" t="n"/>
      <c r="P140" s="16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20" t="n"/>
      <c r="L141" s="21">
        <f>IF(K141&lt;&gt;"",K141,G141)</f>
        <v/>
      </c>
      <c r="M141" s="20" t="n"/>
      <c r="N141" s="17" t="n"/>
      <c r="O141" s="20" t="n"/>
      <c r="P141" s="17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20" t="n"/>
      <c r="L142" s="21">
        <f>IF(K142&lt;&gt;"",K142,G142)</f>
        <v/>
      </c>
      <c r="M142" s="20" t="n"/>
      <c r="N142" s="16" t="n"/>
      <c r="O142" s="20" t="n"/>
      <c r="P142" s="16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20" t="n"/>
      <c r="L143" s="21">
        <f>IF(K143&lt;&gt;"",K143,G143)</f>
        <v/>
      </c>
      <c r="M143" s="20" t="n"/>
      <c r="N143" s="17" t="n"/>
      <c r="O143" s="20" t="n"/>
      <c r="P143" s="17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20" t="n"/>
      <c r="L144" s="21">
        <f>IF(K144&lt;&gt;"",K144,G144)</f>
        <v/>
      </c>
      <c r="M144" s="20" t="n"/>
      <c r="N144" s="16" t="n"/>
      <c r="O144" s="20" t="n"/>
      <c r="P144" s="16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20" t="n"/>
      <c r="L145" s="21">
        <f>IF(K145&lt;&gt;"",K145,G145)</f>
        <v/>
      </c>
      <c r="M145" s="20" t="n"/>
      <c r="N145" s="17" t="n"/>
      <c r="O145" s="20" t="n"/>
      <c r="P145" s="17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20" t="n"/>
      <c r="L146" s="21">
        <f>IF(K146&lt;&gt;"",K146,G146)</f>
        <v/>
      </c>
      <c r="M146" s="20" t="n"/>
      <c r="N146" s="16" t="n"/>
      <c r="O146" s="20" t="n"/>
      <c r="P146" s="16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20" t="n"/>
      <c r="L147" s="21">
        <f>IF(K147&lt;&gt;"",K147,G147)</f>
        <v/>
      </c>
      <c r="M147" s="20" t="n"/>
      <c r="N147" s="17" t="n"/>
      <c r="O147" s="20" t="n"/>
      <c r="P147" s="17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20" t="n"/>
      <c r="L148" s="21">
        <f>IF(K148&lt;&gt;"",K148,G148)</f>
        <v/>
      </c>
      <c r="M148" s="20" t="n"/>
      <c r="N148" s="16" t="n"/>
      <c r="O148" s="20" t="n"/>
      <c r="P148" s="16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20" t="n"/>
      <c r="L149" s="21">
        <f>IF(K149&lt;&gt;"",K149,G149)</f>
        <v/>
      </c>
      <c r="M149" s="20" t="n"/>
      <c r="N149" s="17" t="n"/>
      <c r="O149" s="20" t="n"/>
      <c r="P149" s="17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20" t="n"/>
      <c r="L150" s="21">
        <f>IF(K150&lt;&gt;"",K150,G150)</f>
        <v/>
      </c>
      <c r="M150" s="20" t="n"/>
      <c r="N150" s="16" t="n"/>
      <c r="O150" s="20" t="n"/>
      <c r="P150" s="16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20" t="n"/>
      <c r="L151" s="21">
        <f>IF(K151&lt;&gt;"",K151,G151)</f>
        <v/>
      </c>
      <c r="M151" s="20" t="n"/>
      <c r="N151" s="17" t="n"/>
      <c r="O151" s="20" t="n"/>
      <c r="P151" s="17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20" t="n"/>
      <c r="L152" s="21">
        <f>IF(K152&lt;&gt;"",K152,G152)</f>
        <v/>
      </c>
      <c r="M152" s="20" t="n"/>
      <c r="N152" s="16" t="n"/>
      <c r="O152" s="20" t="n"/>
      <c r="P152" s="16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20" t="n"/>
      <c r="L153" s="21">
        <f>IF(K153&lt;&gt;"",K153,G153)</f>
        <v/>
      </c>
      <c r="M153" s="20" t="n"/>
      <c r="N153" s="17" t="n"/>
      <c r="O153" s="20" t="n"/>
      <c r="P153" s="17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20" t="n"/>
      <c r="L154" s="21">
        <f>IF(K154&lt;&gt;"",K154,G154)</f>
        <v/>
      </c>
      <c r="M154" s="20" t="n"/>
      <c r="N154" s="16" t="n"/>
      <c r="O154" s="20" t="n"/>
      <c r="P154" s="16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20" t="n"/>
      <c r="L155" s="21">
        <f>IF(K155&lt;&gt;"",K155,G155)</f>
        <v/>
      </c>
      <c r="M155" s="20" t="n"/>
      <c r="N155" s="17" t="n"/>
      <c r="O155" s="20" t="n"/>
      <c r="P155" s="17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20" t="n"/>
      <c r="L156" s="21">
        <f>IF(K156&lt;&gt;"",K156,G156)</f>
        <v/>
      </c>
      <c r="M156" s="20" t="n"/>
      <c r="N156" s="16" t="n"/>
      <c r="O156" s="20" t="n"/>
      <c r="P156" s="16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20" t="n"/>
      <c r="L157" s="21">
        <f>IF(K157&lt;&gt;"",K157,G157)</f>
        <v/>
      </c>
      <c r="M157" s="20" t="n"/>
      <c r="N157" s="17" t="n"/>
      <c r="O157" s="20" t="n"/>
      <c r="P157" s="17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20" t="n"/>
      <c r="L158" s="21">
        <f>IF(K158&lt;&gt;"",K158,G158)</f>
        <v/>
      </c>
      <c r="M158" s="20" t="n"/>
      <c r="N158" s="16" t="n"/>
      <c r="O158" s="20" t="n"/>
      <c r="P158" s="16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20" t="n"/>
      <c r="L159" s="21">
        <f>IF(K159&lt;&gt;"",K159,G159)</f>
        <v/>
      </c>
      <c r="M159" s="20" t="n"/>
      <c r="N159" s="17" t="n"/>
      <c r="O159" s="20" t="n"/>
      <c r="P159" s="17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20" t="n"/>
      <c r="L160" s="21">
        <f>IF(K160&lt;&gt;"",K160,G160)</f>
        <v/>
      </c>
      <c r="M160" s="20" t="n"/>
      <c r="N160" s="16" t="n"/>
      <c r="O160" s="20" t="n"/>
      <c r="P160" s="16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20" t="n"/>
      <c r="L161" s="21">
        <f>IF(K161&lt;&gt;"",K161,G161)</f>
        <v/>
      </c>
      <c r="M161" s="20" t="n"/>
      <c r="N161" s="17" t="n"/>
      <c r="O161" s="20" t="n"/>
      <c r="P161" s="17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20" t="n"/>
      <c r="L162" s="21">
        <f>IF(K162&lt;&gt;"",K162,G162)</f>
        <v/>
      </c>
      <c r="M162" s="20" t="n"/>
      <c r="N162" s="16" t="n"/>
      <c r="O162" s="20" t="n"/>
      <c r="P162" s="16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20" t="n"/>
      <c r="L163" s="21">
        <f>IF(K163&lt;&gt;"",K163,G163)</f>
        <v/>
      </c>
      <c r="M163" s="20" t="n"/>
      <c r="N163" s="17" t="n"/>
      <c r="O163" s="20" t="n"/>
      <c r="P163" s="17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20" t="n"/>
      <c r="L164" s="21">
        <f>IF(K164&lt;&gt;"",K164,G164)</f>
        <v/>
      </c>
      <c r="M164" s="20" t="n"/>
      <c r="N164" s="16" t="n"/>
      <c r="O164" s="20" t="n"/>
      <c r="P164" s="16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20" t="n"/>
      <c r="L165" s="21">
        <f>IF(K165&lt;&gt;"",K165,G165)</f>
        <v/>
      </c>
      <c r="M165" s="20" t="n"/>
      <c r="N165" s="17" t="n"/>
      <c r="O165" s="20" t="n"/>
      <c r="P165" s="17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20" t="n"/>
      <c r="L166" s="21">
        <f>IF(K166&lt;&gt;"",K166,G166)</f>
        <v/>
      </c>
      <c r="M166" s="20" t="n"/>
      <c r="N166" s="16" t="n"/>
      <c r="O166" s="20" t="n"/>
      <c r="P166" s="16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20" t="n"/>
      <c r="L167" s="21">
        <f>IF(K167&lt;&gt;"",K167,G167)</f>
        <v/>
      </c>
      <c r="M167" s="20" t="n"/>
      <c r="N167" s="17" t="n"/>
      <c r="O167" s="20" t="n"/>
      <c r="P167" s="17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20" t="n"/>
      <c r="L168" s="21">
        <f>IF(K168&lt;&gt;"",K168,G168)</f>
        <v/>
      </c>
      <c r="M168" s="20" t="n"/>
      <c r="N168" s="16" t="n"/>
      <c r="O168" s="20" t="n"/>
      <c r="P168" s="16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20" t="n"/>
      <c r="L169" s="21">
        <f>IF(K169&lt;&gt;"",K169,G169)</f>
        <v/>
      </c>
      <c r="M169" s="20" t="n"/>
      <c r="N169" s="17" t="n"/>
      <c r="O169" s="20" t="n"/>
      <c r="P169" s="17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20" t="n"/>
      <c r="L170" s="21">
        <f>IF(K170&lt;&gt;"",K170,G170)</f>
        <v/>
      </c>
      <c r="M170" s="20" t="n"/>
      <c r="N170" s="16" t="n"/>
      <c r="O170" s="20" t="n"/>
      <c r="P170" s="16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20" t="n"/>
      <c r="L171" s="21">
        <f>IF(K171&lt;&gt;"",K171,G171)</f>
        <v/>
      </c>
      <c r="M171" s="20" t="n"/>
      <c r="N171" s="17" t="n"/>
      <c r="O171" s="20" t="n"/>
      <c r="P171" s="17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20" t="n"/>
      <c r="L172" s="21">
        <f>IF(K172&lt;&gt;"",K172,G172)</f>
        <v/>
      </c>
      <c r="M172" s="20" t="n"/>
      <c r="N172" s="16" t="n"/>
      <c r="O172" s="20" t="n"/>
      <c r="P172" s="16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20" t="n"/>
      <c r="L173" s="21">
        <f>IF(K173&lt;&gt;"",K173,G173)</f>
        <v/>
      </c>
      <c r="M173" s="20" t="n"/>
      <c r="N173" s="17" t="n"/>
      <c r="O173" s="20" t="n"/>
      <c r="P173" s="17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20" t="n"/>
      <c r="L174" s="21">
        <f>IF(K174&lt;&gt;"",K174,G174)</f>
        <v/>
      </c>
      <c r="M174" s="20" t="n"/>
      <c r="N174" s="16" t="n"/>
      <c r="O174" s="20" t="n"/>
      <c r="P174" s="16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20" t="n"/>
      <c r="L175" s="21">
        <f>IF(K175&lt;&gt;"",K175,G175)</f>
        <v/>
      </c>
      <c r="M175" s="20" t="n"/>
      <c r="N175" s="17" t="n"/>
      <c r="O175" s="20" t="n"/>
      <c r="P175" s="17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20" t="n"/>
      <c r="L176" s="21">
        <f>IF(K176&lt;&gt;"",K176,G176)</f>
        <v/>
      </c>
      <c r="M176" s="20" t="n"/>
      <c r="N176" s="16" t="n"/>
      <c r="O176" s="20" t="n"/>
      <c r="P176" s="16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20" t="n"/>
      <c r="L177" s="21">
        <f>IF(K177&lt;&gt;"",K177,G177)</f>
        <v/>
      </c>
      <c r="M177" s="20" t="n"/>
      <c r="N177" s="17" t="n"/>
      <c r="O177" s="20" t="n"/>
      <c r="P177" s="17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20" t="n"/>
      <c r="L178" s="21">
        <f>IF(K178&lt;&gt;"",K178,G178)</f>
        <v/>
      </c>
      <c r="M178" s="20" t="n"/>
      <c r="N178" s="16" t="n"/>
      <c r="O178" s="20" t="n"/>
      <c r="P178" s="16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20" t="n"/>
      <c r="L179" s="21">
        <f>IF(K179&lt;&gt;"",K179,G179)</f>
        <v/>
      </c>
      <c r="M179" s="20" t="n"/>
      <c r="N179" s="17" t="n"/>
      <c r="O179" s="20" t="n"/>
      <c r="P179" s="17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20" t="n"/>
      <c r="L180" s="21">
        <f>IF(K180&lt;&gt;"",K180,G180)</f>
        <v/>
      </c>
      <c r="M180" s="20" t="n"/>
      <c r="N180" s="16" t="n"/>
      <c r="O180" s="20" t="n"/>
      <c r="P180" s="16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20" t="n"/>
      <c r="L181" s="21">
        <f>IF(K181&lt;&gt;"",K181,G181)</f>
        <v/>
      </c>
      <c r="M181" s="20" t="n"/>
      <c r="N181" s="17" t="n"/>
      <c r="O181" s="20" t="n"/>
      <c r="P181" s="17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20" t="n"/>
      <c r="L182" s="21">
        <f>IF(K182&lt;&gt;"",K182,G182)</f>
        <v/>
      </c>
      <c r="M182" s="20" t="n"/>
      <c r="N182" s="16" t="n"/>
      <c r="O182" s="20" t="n"/>
      <c r="P182" s="16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20" t="n"/>
      <c r="L183" s="21">
        <f>IF(K183&lt;&gt;"",K183,G183)</f>
        <v/>
      </c>
      <c r="M183" s="20" t="n"/>
      <c r="N183" s="17" t="n"/>
      <c r="O183" s="20" t="n"/>
      <c r="P183" s="17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20" t="n"/>
      <c r="L184" s="21">
        <f>IF(K184&lt;&gt;"",K184,G184)</f>
        <v/>
      </c>
      <c r="M184" s="20" t="n"/>
      <c r="N184" s="16" t="n"/>
      <c r="O184" s="20" t="n"/>
      <c r="P184" s="16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20" t="n"/>
      <c r="L185" s="21">
        <f>IF(K185&lt;&gt;"",K185,G185)</f>
        <v/>
      </c>
      <c r="M185" s="20" t="n"/>
      <c r="N185" s="17" t="n"/>
      <c r="O185" s="20" t="n"/>
      <c r="P185" s="17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20" t="n"/>
      <c r="L186" s="21">
        <f>IF(K186&lt;&gt;"",K186,G186)</f>
        <v/>
      </c>
      <c r="M186" s="20" t="n"/>
      <c r="N186" s="16" t="n"/>
      <c r="O186" s="20" t="n"/>
      <c r="P186" s="16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20" t="n"/>
      <c r="L187" s="21">
        <f>IF(K187&lt;&gt;"",K187,G187)</f>
        <v/>
      </c>
      <c r="M187" s="20" t="n"/>
      <c r="N187" s="17" t="n"/>
      <c r="O187" s="20" t="n"/>
      <c r="P187" s="17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20" t="n"/>
      <c r="L188" s="21">
        <f>IF(K188&lt;&gt;"",K188,G188)</f>
        <v/>
      </c>
      <c r="M188" s="20" t="n"/>
      <c r="N188" s="16" t="n"/>
      <c r="O188" s="20" t="n"/>
      <c r="P188" s="16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20" t="n"/>
      <c r="L189" s="21">
        <f>IF(K189&lt;&gt;"",K189,G189)</f>
        <v/>
      </c>
      <c r="M189" s="20" t="n"/>
      <c r="N189" s="17" t="n"/>
      <c r="O189" s="20" t="n"/>
      <c r="P189" s="17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20" t="n"/>
      <c r="L190" s="21">
        <f>IF(K190&lt;&gt;"",K190,G190)</f>
        <v/>
      </c>
      <c r="M190" s="20" t="n"/>
      <c r="N190" s="16" t="n"/>
      <c r="O190" s="20" t="n"/>
      <c r="P190" s="16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20" t="n"/>
      <c r="L191" s="21">
        <f>IF(K191&lt;&gt;"",K191,G191)</f>
        <v/>
      </c>
      <c r="M191" s="20" t="n"/>
      <c r="N191" s="17" t="n"/>
      <c r="O191" s="20" t="n"/>
      <c r="P191" s="17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20" t="n"/>
      <c r="L192" s="21">
        <f>IF(K192&lt;&gt;"",K192,G192)</f>
        <v/>
      </c>
      <c r="M192" s="20" t="n"/>
      <c r="N192" s="16" t="n"/>
      <c r="O192" s="20" t="n"/>
      <c r="P192" s="16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20" t="n"/>
      <c r="L193" s="21">
        <f>IF(K193&lt;&gt;"",K193,G193)</f>
        <v/>
      </c>
      <c r="M193" s="20" t="n"/>
      <c r="N193" s="17" t="n"/>
      <c r="O193" s="20" t="n"/>
      <c r="P193" s="17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20" t="n"/>
      <c r="L194" s="21">
        <f>IF(K194&lt;&gt;"",K194,G194)</f>
        <v/>
      </c>
      <c r="M194" s="20" t="n"/>
      <c r="N194" s="16" t="n"/>
      <c r="O194" s="20" t="n"/>
      <c r="P194" s="16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20" t="n"/>
      <c r="L195" s="21">
        <f>IF(K195&lt;&gt;"",K195,G195)</f>
        <v/>
      </c>
      <c r="M195" s="20" t="n"/>
      <c r="N195" s="17" t="n"/>
      <c r="O195" s="20" t="n"/>
      <c r="P195" s="17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20" t="n"/>
      <c r="L196" s="21">
        <f>IF(K196&lt;&gt;"",K196,G196)</f>
        <v/>
      </c>
      <c r="M196" s="20" t="n"/>
      <c r="N196" s="16" t="n"/>
      <c r="O196" s="20" t="n"/>
      <c r="P196" s="16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20" t="n"/>
      <c r="L197" s="21">
        <f>IF(K197&lt;&gt;"",K197,G197)</f>
        <v/>
      </c>
      <c r="M197" s="20" t="n"/>
      <c r="N197" s="17" t="n"/>
      <c r="O197" s="20" t="n"/>
      <c r="P197" s="17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20" t="n"/>
      <c r="L198" s="21">
        <f>IF(K198&lt;&gt;"",K198,G198)</f>
        <v/>
      </c>
      <c r="M198" s="20" t="n"/>
      <c r="N198" s="16" t="n"/>
      <c r="O198" s="20" t="n"/>
      <c r="P198" s="16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20" t="n"/>
      <c r="L199" s="21">
        <f>IF(K199&lt;&gt;"",K199,G199)</f>
        <v/>
      </c>
      <c r="M199" s="20" t="n"/>
      <c r="N199" s="17" t="n"/>
      <c r="O199" s="20" t="n"/>
      <c r="P199" s="17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20" t="n"/>
      <c r="L200" s="21">
        <f>IF(K200&lt;&gt;"",K200,G200)</f>
        <v/>
      </c>
      <c r="M200" s="20" t="n"/>
      <c r="N200" s="16" t="n"/>
      <c r="O200" s="20" t="n"/>
      <c r="P200" s="16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20" t="n"/>
      <c r="L201" s="21">
        <f>IF(K201&lt;&gt;"",K201,G201)</f>
        <v/>
      </c>
      <c r="M201" s="20" t="n"/>
      <c r="N201" s="17" t="n"/>
      <c r="O201" s="20" t="n"/>
      <c r="P201" s="17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20" t="n"/>
      <c r="L202" s="21">
        <f>IF(K202&lt;&gt;"",K202,G202)</f>
        <v/>
      </c>
      <c r="M202" s="20" t="n"/>
      <c r="N202" s="16" t="n"/>
      <c r="O202" s="20" t="n"/>
      <c r="P202" s="16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20" t="n"/>
      <c r="L203" s="21">
        <f>IF(K203&lt;&gt;"",K203,G203)</f>
        <v/>
      </c>
      <c r="M203" s="20" t="n"/>
      <c r="N203" s="17" t="n"/>
      <c r="O203" s="20" t="n"/>
      <c r="P203" s="17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20" t="n"/>
      <c r="L204" s="21">
        <f>IF(K204&lt;&gt;"",K204,G204)</f>
        <v/>
      </c>
      <c r="M204" s="20" t="n"/>
      <c r="N204" s="16" t="n"/>
      <c r="O204" s="20" t="n"/>
      <c r="P204" s="16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20" t="n"/>
      <c r="L205" s="21">
        <f>IF(K205&lt;&gt;"",K205,G205)</f>
        <v/>
      </c>
      <c r="M205" s="20" t="n"/>
      <c r="N205" s="17" t="n"/>
      <c r="O205" s="20" t="n"/>
      <c r="P205" s="17" t="n"/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20" t="n"/>
      <c r="L206" s="21">
        <f>IF(K206&lt;&gt;"",K206,G206)</f>
        <v/>
      </c>
      <c r="M206" s="20" t="n"/>
      <c r="N206" s="16" t="n"/>
      <c r="O206" s="20" t="n"/>
      <c r="P206" s="16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20" t="n"/>
      <c r="L207" s="21">
        <f>IF(K207&lt;&gt;"",K207,G207)</f>
        <v/>
      </c>
      <c r="M207" s="20" t="n"/>
      <c r="N207" s="17" t="n"/>
      <c r="O207" s="20" t="n"/>
      <c r="P207" s="17" t="n"/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20" t="n"/>
      <c r="L208" s="21">
        <f>IF(K208&lt;&gt;"",K208,G208)</f>
        <v/>
      </c>
      <c r="M208" s="20" t="n"/>
      <c r="N208" s="16" t="n"/>
      <c r="O208" s="20" t="n"/>
      <c r="P208" s="16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20" t="n"/>
      <c r="L209" s="21">
        <f>IF(K209&lt;&gt;"",K209,G209)</f>
        <v/>
      </c>
      <c r="M209" s="20" t="n"/>
      <c r="N209" s="17" t="n"/>
      <c r="O209" s="20" t="n"/>
      <c r="P209" s="17" t="n"/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20" t="n"/>
      <c r="L210" s="21">
        <f>IF(K210&lt;&gt;"",K210,G210)</f>
        <v/>
      </c>
      <c r="M210" s="20" t="n"/>
      <c r="N210" s="16" t="n"/>
      <c r="O210" s="20" t="n"/>
      <c r="P210" s="16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20" t="n"/>
      <c r="L211" s="21">
        <f>IF(K211&lt;&gt;"",K211,G211)</f>
        <v/>
      </c>
      <c r="M211" s="20" t="n"/>
      <c r="N211" s="17" t="n"/>
      <c r="O211" s="20" t="n"/>
      <c r="P211" s="17" t="n"/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20" t="n"/>
      <c r="L212" s="21">
        <f>IF(K212&lt;&gt;"",K212,G212)</f>
        <v/>
      </c>
      <c r="M212" s="20" t="n"/>
      <c r="N212" s="16" t="n"/>
      <c r="O212" s="20" t="n"/>
      <c r="P212" s="16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20" t="n"/>
      <c r="L213" s="21">
        <f>IF(K213&lt;&gt;"",K213,G213)</f>
        <v/>
      </c>
      <c r="M213" s="20" t="n"/>
      <c r="N213" s="17" t="n"/>
      <c r="O213" s="20" t="n"/>
      <c r="P213" s="17" t="n"/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20" t="n"/>
      <c r="L214" s="21">
        <f>IF(K214&lt;&gt;"",K214,G214)</f>
        <v/>
      </c>
      <c r="M214" s="20" t="n"/>
      <c r="N214" s="16" t="n"/>
      <c r="O214" s="20" t="n"/>
      <c r="P214" s="16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20" t="n"/>
      <c r="L215" s="21">
        <f>IF(K215&lt;&gt;"",K215,G215)</f>
        <v/>
      </c>
      <c r="M215" s="20" t="n"/>
      <c r="N215" s="17" t="n"/>
      <c r="O215" s="20" t="n"/>
      <c r="P215" s="17" t="n"/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20" t="n"/>
      <c r="L216" s="21">
        <f>IF(K216&lt;&gt;"",K216,G216)</f>
        <v/>
      </c>
      <c r="M216" s="20" t="n"/>
      <c r="N216" s="16" t="n"/>
      <c r="O216" s="20" t="n"/>
      <c r="P216" s="16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20" t="n"/>
      <c r="L217" s="21">
        <f>IF(K217&lt;&gt;"",K217,G217)</f>
        <v/>
      </c>
      <c r="M217" s="20" t="n"/>
      <c r="N217" s="17" t="n"/>
      <c r="O217" s="20" t="n"/>
      <c r="P217" s="17" t="n"/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20" t="n"/>
      <c r="L218" s="21">
        <f>IF(K218&lt;&gt;"",K218,G218)</f>
        <v/>
      </c>
      <c r="M218" s="20" t="n"/>
      <c r="N218" s="16" t="n"/>
      <c r="O218" s="20" t="n"/>
      <c r="P218" s="16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20" t="n"/>
      <c r="L219" s="21">
        <f>IF(K219&lt;&gt;"",K219,G219)</f>
        <v/>
      </c>
      <c r="M219" s="20" t="n"/>
      <c r="N219" s="17" t="n"/>
      <c r="O219" s="20" t="n"/>
      <c r="P219" s="17" t="n"/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20" t="n"/>
      <c r="L220" s="21">
        <f>IF(K220&lt;&gt;"",K220,G220)</f>
        <v/>
      </c>
      <c r="M220" s="20" t="n"/>
      <c r="N220" s="16" t="n"/>
      <c r="O220" s="20" t="n"/>
      <c r="P220" s="16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20" t="n"/>
      <c r="L221" s="21">
        <f>IF(K221&lt;&gt;"",K221,G221)</f>
        <v/>
      </c>
      <c r="M221" s="20" t="n"/>
      <c r="N221" s="17" t="n"/>
      <c r="O221" s="20" t="n"/>
      <c r="P221" s="17" t="n"/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20" t="n"/>
      <c r="L222" s="21">
        <f>IF(K222&lt;&gt;"",K222,G222)</f>
        <v/>
      </c>
      <c r="M222" s="20" t="n"/>
      <c r="N222" s="16" t="n"/>
      <c r="O222" s="20" t="n"/>
      <c r="P222" s="16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20" t="n"/>
      <c r="L223" s="21">
        <f>IF(K223&lt;&gt;"",K223,G223)</f>
        <v/>
      </c>
      <c r="M223" s="20" t="n"/>
      <c r="N223" s="17" t="n"/>
      <c r="O223" s="20" t="n"/>
      <c r="P223" s="17" t="n"/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20" t="n"/>
      <c r="L224" s="21">
        <f>IF(K224&lt;&gt;"",K224,G224)</f>
        <v/>
      </c>
      <c r="M224" s="20" t="n"/>
      <c r="N224" s="16" t="n"/>
      <c r="O224" s="20" t="n"/>
      <c r="P224" s="16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20" t="n"/>
      <c r="L225" s="21">
        <f>IF(K225&lt;&gt;"",K225,G225)</f>
        <v/>
      </c>
      <c r="M225" s="20" t="n"/>
      <c r="N225" s="17" t="n"/>
      <c r="O225" s="20" t="n"/>
      <c r="P225" s="17" t="n"/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20" t="n"/>
      <c r="L226" s="21">
        <f>IF(K226&lt;&gt;"",K226,G226)</f>
        <v/>
      </c>
      <c r="M226" s="20" t="n"/>
      <c r="N226" s="16" t="n"/>
      <c r="O226" s="20" t="n"/>
      <c r="P226" s="16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20" t="n"/>
      <c r="L227" s="21">
        <f>IF(K227&lt;&gt;"",K227,G227)</f>
        <v/>
      </c>
      <c r="M227" s="20" t="n"/>
      <c r="N227" s="17" t="n"/>
      <c r="O227" s="20" t="n"/>
      <c r="P227" s="17" t="n"/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20" t="n"/>
      <c r="L228" s="21">
        <f>IF(K228&lt;&gt;"",K228,G228)</f>
        <v/>
      </c>
      <c r="M228" s="20" t="n"/>
      <c r="N228" s="16" t="n"/>
      <c r="O228" s="20" t="n"/>
      <c r="P228" s="16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20" t="n"/>
      <c r="L229" s="21">
        <f>IF(K229&lt;&gt;"",K229,G229)</f>
        <v/>
      </c>
      <c r="M229" s="20" t="n"/>
      <c r="N229" s="17" t="n"/>
      <c r="O229" s="20" t="n"/>
      <c r="P229" s="17" t="n"/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20" t="n"/>
      <c r="L230" s="21">
        <f>IF(K230&lt;&gt;"",K230,G230)</f>
        <v/>
      </c>
      <c r="M230" s="20" t="n"/>
      <c r="N230" s="16" t="n"/>
      <c r="O230" s="20" t="n"/>
      <c r="P230" s="16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20" t="n"/>
      <c r="L231" s="21">
        <f>IF(K231&lt;&gt;"",K231,G231)</f>
        <v/>
      </c>
      <c r="M231" s="20" t="n"/>
      <c r="N231" s="17" t="n"/>
      <c r="O231" s="20" t="n"/>
      <c r="P231" s="17" t="n"/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20" t="n"/>
      <c r="L232" s="21">
        <f>IF(K232&lt;&gt;"",K232,G232)</f>
        <v/>
      </c>
      <c r="M232" s="20" t="n"/>
      <c r="N232" s="16" t="n"/>
      <c r="O232" s="20" t="n"/>
      <c r="P232" s="16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20" t="n"/>
      <c r="L233" s="21">
        <f>IF(K233&lt;&gt;"",K233,G233)</f>
        <v/>
      </c>
      <c r="M233" s="20" t="n"/>
      <c r="N233" s="17" t="n"/>
      <c r="O233" s="20" t="n"/>
      <c r="P233" s="17" t="n"/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20" t="n"/>
      <c r="L234" s="21">
        <f>IF(K234&lt;&gt;"",K234,G234)</f>
        <v/>
      </c>
      <c r="M234" s="20" t="n"/>
      <c r="N234" s="16" t="n"/>
      <c r="O234" s="20" t="n"/>
      <c r="P234" s="16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20" t="n"/>
      <c r="L235" s="21">
        <f>IF(K235&lt;&gt;"",K235,G235)</f>
        <v/>
      </c>
      <c r="M235" s="20" t="n"/>
      <c r="N235" s="17" t="n"/>
      <c r="O235" s="20" t="n"/>
      <c r="P235" s="17" t="n"/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20" t="n"/>
      <c r="L236" s="21">
        <f>IF(K236&lt;&gt;"",K236,G236)</f>
        <v/>
      </c>
      <c r="M236" s="20" t="n"/>
      <c r="N236" s="16" t="n"/>
      <c r="O236" s="20" t="n"/>
      <c r="P236" s="16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20" t="n"/>
      <c r="L237" s="21">
        <f>IF(K237&lt;&gt;"",K237,G237)</f>
        <v/>
      </c>
      <c r="M237" s="20" t="n"/>
      <c r="N237" s="17" t="n"/>
      <c r="O237" s="20" t="n"/>
      <c r="P237" s="17" t="n"/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20" t="n"/>
      <c r="L238" s="21">
        <f>IF(K238&lt;&gt;"",K238,G238)</f>
        <v/>
      </c>
      <c r="M238" s="20" t="n"/>
      <c r="N238" s="16" t="n"/>
      <c r="O238" s="20" t="n"/>
      <c r="P238" s="16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20" t="n"/>
      <c r="L239" s="21">
        <f>IF(K239&lt;&gt;"",K239,G239)</f>
        <v/>
      </c>
      <c r="M239" s="20" t="n"/>
      <c r="N239" s="17" t="n"/>
      <c r="O239" s="20" t="n"/>
      <c r="P239" s="17" t="n"/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20" t="n"/>
      <c r="L240" s="21">
        <f>IF(K240&lt;&gt;"",K240,G240)</f>
        <v/>
      </c>
      <c r="M240" s="20" t="n"/>
      <c r="N240" s="16" t="n"/>
      <c r="O240" s="20" t="n"/>
      <c r="P240" s="16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20" t="n"/>
      <c r="L241" s="21">
        <f>IF(K241&lt;&gt;"",K241,G241)</f>
        <v/>
      </c>
      <c r="M241" s="20" t="n"/>
      <c r="N241" s="17" t="n"/>
      <c r="O241" s="20" t="n"/>
      <c r="P241" s="17" t="n"/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20" t="n"/>
      <c r="L242" s="21">
        <f>IF(K242&lt;&gt;"",K242,G242)</f>
        <v/>
      </c>
      <c r="M242" s="20" t="n"/>
      <c r="N242" s="16" t="n"/>
      <c r="O242" s="20" t="n"/>
      <c r="P242" s="16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20" t="n"/>
      <c r="L243" s="21">
        <f>IF(K243&lt;&gt;"",K243,G243)</f>
        <v/>
      </c>
      <c r="M243" s="20" t="n"/>
      <c r="N243" s="17" t="n"/>
      <c r="O243" s="20" t="n"/>
      <c r="P243" s="17" t="n"/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20" t="n"/>
      <c r="L244" s="21">
        <f>IF(K244&lt;&gt;"",K244,G244)</f>
        <v/>
      </c>
      <c r="M244" s="20" t="n"/>
      <c r="N244" s="16" t="n"/>
      <c r="O244" s="20" t="n"/>
      <c r="P244" s="16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20" t="n"/>
      <c r="L245" s="21">
        <f>IF(K245&lt;&gt;"",K245,G245)</f>
        <v/>
      </c>
      <c r="M245" s="20" t="n"/>
      <c r="N245" s="17" t="n"/>
      <c r="O245" s="20" t="n"/>
      <c r="P245" s="17" t="n"/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20" t="n"/>
      <c r="L246" s="21">
        <f>IF(K246&lt;&gt;"",K246,G246)</f>
        <v/>
      </c>
      <c r="M246" s="20" t="n"/>
      <c r="N246" s="16" t="n"/>
      <c r="O246" s="20" t="n"/>
      <c r="P246" s="16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20" t="n"/>
      <c r="L247" s="21">
        <f>IF(K247&lt;&gt;"",K247,G247)</f>
        <v/>
      </c>
      <c r="M247" s="20" t="n"/>
      <c r="N247" s="17" t="n"/>
      <c r="O247" s="20" t="n"/>
      <c r="P247" s="17" t="n"/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20" t="n"/>
      <c r="L248" s="21">
        <f>IF(K248&lt;&gt;"",K248,G248)</f>
        <v/>
      </c>
      <c r="M248" s="20" t="n"/>
      <c r="N248" s="16" t="n"/>
      <c r="O248" s="20" t="n"/>
      <c r="P248" s="16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20" t="n"/>
      <c r="L249" s="21">
        <f>IF(K249&lt;&gt;"",K249,G249)</f>
        <v/>
      </c>
      <c r="M249" s="20" t="n"/>
      <c r="N249" s="17" t="n"/>
      <c r="O249" s="20" t="n"/>
      <c r="P249" s="17" t="n"/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20" t="n"/>
      <c r="L250" s="21">
        <f>IF(K250&lt;&gt;"",K250,G250)</f>
        <v/>
      </c>
      <c r="M250" s="20" t="n"/>
      <c r="N250" s="16" t="n"/>
      <c r="O250" s="20" t="n"/>
      <c r="P250" s="16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20" t="n"/>
      <c r="L251" s="21">
        <f>IF(K251&lt;&gt;"",K251,G251)</f>
        <v/>
      </c>
      <c r="M251" s="20" t="n"/>
      <c r="N251" s="17" t="n"/>
      <c r="O251" s="20" t="n"/>
      <c r="P251" s="17" t="n"/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20" t="n"/>
      <c r="L252" s="21">
        <f>IF(K252&lt;&gt;"",K252,G252)</f>
        <v/>
      </c>
      <c r="M252" s="20" t="n"/>
      <c r="N252" s="16" t="n"/>
      <c r="O252" s="20" t="n"/>
      <c r="P252" s="16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20" t="n"/>
      <c r="L253" s="21">
        <f>IF(K253&lt;&gt;"",K253,G253)</f>
        <v/>
      </c>
      <c r="M253" s="20" t="n"/>
      <c r="N253" s="17" t="n"/>
      <c r="O253" s="20" t="n"/>
      <c r="P253" s="17" t="n"/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20" t="n"/>
      <c r="L254" s="21">
        <f>IF(K254&lt;&gt;"",K254,G254)</f>
        <v/>
      </c>
      <c r="M254" s="20" t="n"/>
      <c r="N254" s="16" t="n"/>
      <c r="O254" s="20" t="n"/>
      <c r="P254" s="16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20" t="n"/>
      <c r="L255" s="21">
        <f>IF(K255&lt;&gt;"",K255,G255)</f>
        <v/>
      </c>
      <c r="M255" s="20" t="n"/>
      <c r="N255" s="17" t="n"/>
      <c r="O255" s="20" t="n"/>
      <c r="P255" s="17" t="n"/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20" t="n"/>
      <c r="L256" s="21">
        <f>IF(K256&lt;&gt;"",K256,G256)</f>
        <v/>
      </c>
      <c r="M256" s="20" t="n"/>
      <c r="N256" s="16" t="n"/>
      <c r="O256" s="20" t="n"/>
      <c r="P256" s="16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20" t="n"/>
      <c r="L257" s="21">
        <f>IF(K257&lt;&gt;"",K257,G257)</f>
        <v/>
      </c>
      <c r="M257" s="20" t="n"/>
      <c r="N257" s="17" t="n"/>
      <c r="O257" s="20" t="n"/>
      <c r="P257" s="17" t="n"/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20" t="n"/>
      <c r="L258" s="21">
        <f>IF(K258&lt;&gt;"",K258,G258)</f>
        <v/>
      </c>
      <c r="M258" s="20" t="n"/>
      <c r="N258" s="16" t="n"/>
      <c r="O258" s="20" t="n"/>
      <c r="P258" s="16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20" t="n"/>
      <c r="L259" s="21">
        <f>IF(K259&lt;&gt;"",K259,G259)</f>
        <v/>
      </c>
      <c r="M259" s="20" t="n"/>
      <c r="N259" s="17" t="n"/>
      <c r="O259" s="20" t="n"/>
      <c r="P259" s="17" t="n"/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20" t="n"/>
      <c r="L260" s="21">
        <f>IF(K260&lt;&gt;"",K260,G260)</f>
        <v/>
      </c>
      <c r="M260" s="20" t="n"/>
      <c r="N260" s="16" t="n"/>
      <c r="O260" s="20" t="n"/>
      <c r="P260" s="16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20" t="n"/>
      <c r="L261" s="21">
        <f>IF(K261&lt;&gt;"",K261,G261)</f>
        <v/>
      </c>
      <c r="M261" s="20" t="n"/>
      <c r="N261" s="17" t="n"/>
      <c r="O261" s="20" t="n"/>
      <c r="P261" s="17" t="n"/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20" t="n"/>
      <c r="L262" s="21">
        <f>IF(K262&lt;&gt;"",K262,G262)</f>
        <v/>
      </c>
      <c r="M262" s="20" t="n"/>
      <c r="N262" s="16" t="n"/>
      <c r="O262" s="20" t="n"/>
      <c r="P262" s="16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20" t="n"/>
      <c r="L263" s="21">
        <f>IF(K263&lt;&gt;"",K263,G263)</f>
        <v/>
      </c>
      <c r="M263" s="20" t="n"/>
      <c r="N263" s="17" t="n"/>
      <c r="O263" s="20" t="n"/>
      <c r="P263" s="17" t="n"/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20" t="n"/>
      <c r="L264" s="21">
        <f>IF(K264&lt;&gt;"",K264,G264)</f>
        <v/>
      </c>
      <c r="M264" s="20" t="n"/>
      <c r="N264" s="16" t="n"/>
      <c r="O264" s="20" t="n"/>
      <c r="P264" s="16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20" t="n"/>
      <c r="L265" s="21">
        <f>IF(K265&lt;&gt;"",K265,G265)</f>
        <v/>
      </c>
      <c r="M265" s="20" t="n"/>
      <c r="N265" s="17" t="n"/>
      <c r="O265" s="20" t="n"/>
      <c r="P265" s="17" t="n"/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20" t="n"/>
      <c r="L266" s="21">
        <f>IF(K266&lt;&gt;"",K266,G266)</f>
        <v/>
      </c>
      <c r="M266" s="20" t="n"/>
      <c r="N266" s="16" t="n"/>
      <c r="O266" s="20" t="n"/>
      <c r="P266" s="16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20" t="n"/>
      <c r="L267" s="21">
        <f>IF(K267&lt;&gt;"",K267,G267)</f>
        <v/>
      </c>
      <c r="M267" s="20" t="n"/>
      <c r="N267" s="17" t="n"/>
      <c r="O267" s="20" t="n"/>
      <c r="P267" s="17" t="n"/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20" t="n"/>
      <c r="L268" s="21">
        <f>IF(K268&lt;&gt;"",K268,G268)</f>
        <v/>
      </c>
      <c r="M268" s="20" t="n"/>
      <c r="N268" s="16" t="n"/>
      <c r="O268" s="20" t="n"/>
      <c r="P268" s="16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20" t="n"/>
      <c r="L269" s="21">
        <f>IF(K269&lt;&gt;"",K269,G269)</f>
        <v/>
      </c>
      <c r="M269" s="20" t="n"/>
      <c r="N269" s="17" t="n"/>
      <c r="O269" s="20" t="n"/>
      <c r="P269" s="17" t="n"/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20" t="n"/>
      <c r="L270" s="21">
        <f>IF(K270&lt;&gt;"",K270,G270)</f>
        <v/>
      </c>
      <c r="M270" s="20" t="n"/>
      <c r="N270" s="16" t="n"/>
      <c r="O270" s="20" t="n"/>
      <c r="P270" s="16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20" t="n"/>
      <c r="L271" s="21">
        <f>IF(K271&lt;&gt;"",K271,G271)</f>
        <v/>
      </c>
      <c r="M271" s="20" t="n"/>
      <c r="N271" s="17" t="n"/>
      <c r="O271" s="20" t="n"/>
      <c r="P271" s="17" t="n"/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20" t="n"/>
      <c r="L272" s="21">
        <f>IF(K272&lt;&gt;"",K272,G272)</f>
        <v/>
      </c>
      <c r="M272" s="20" t="n"/>
      <c r="N272" s="16" t="n"/>
      <c r="O272" s="20" t="n"/>
      <c r="P272" s="16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20" t="n"/>
      <c r="L273" s="21">
        <f>IF(K273&lt;&gt;"",K273,G273)</f>
        <v/>
      </c>
      <c r="M273" s="20" t="n"/>
      <c r="N273" s="17" t="n"/>
      <c r="O273" s="20" t="n"/>
      <c r="P273" s="17" t="n"/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20" t="n"/>
      <c r="L274" s="21">
        <f>IF(K274&lt;&gt;"",K274,G274)</f>
        <v/>
      </c>
      <c r="M274" s="20" t="n"/>
      <c r="N274" s="16" t="n"/>
      <c r="O274" s="20" t="n"/>
      <c r="P274" s="16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20" t="n"/>
      <c r="L275" s="21">
        <f>IF(K275&lt;&gt;"",K275,G275)</f>
        <v/>
      </c>
      <c r="M275" s="20" t="n"/>
      <c r="N275" s="17" t="n"/>
      <c r="O275" s="20" t="n"/>
      <c r="P275" s="17" t="n"/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20" t="n"/>
      <c r="L276" s="21">
        <f>IF(K276&lt;&gt;"",K276,G276)</f>
        <v/>
      </c>
      <c r="M276" s="20" t="n"/>
      <c r="N276" s="16" t="n"/>
      <c r="O276" s="20" t="n"/>
      <c r="P276" s="16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20" t="n"/>
      <c r="L277" s="21">
        <f>IF(K277&lt;&gt;"",K277,G277)</f>
        <v/>
      </c>
      <c r="M277" s="20" t="n"/>
      <c r="N277" s="17" t="n"/>
      <c r="O277" s="20" t="n"/>
      <c r="P277" s="17" t="n"/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20" t="n"/>
      <c r="L278" s="21">
        <f>IF(K278&lt;&gt;"",K278,G278)</f>
        <v/>
      </c>
      <c r="M278" s="20" t="n"/>
      <c r="N278" s="16" t="n"/>
      <c r="O278" s="20" t="n"/>
      <c r="P278" s="16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20" t="n"/>
      <c r="L279" s="21">
        <f>IF(K279&lt;&gt;"",K279,G279)</f>
        <v/>
      </c>
      <c r="M279" s="20" t="n"/>
      <c r="N279" s="17" t="n"/>
      <c r="O279" s="20" t="n"/>
      <c r="P279" s="17" t="n"/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20" t="n"/>
      <c r="L280" s="21">
        <f>IF(K280&lt;&gt;"",K280,G280)</f>
        <v/>
      </c>
      <c r="M280" s="20" t="n"/>
      <c r="N280" s="16" t="n"/>
      <c r="O280" s="20" t="n"/>
      <c r="P280" s="16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20" t="n"/>
      <c r="L281" s="21">
        <f>IF(K281&lt;&gt;"",K281,G281)</f>
        <v/>
      </c>
      <c r="M281" s="20" t="n"/>
      <c r="N281" s="17" t="n"/>
      <c r="O281" s="20" t="n"/>
      <c r="P281" s="17" t="n"/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20" t="n"/>
      <c r="L282" s="21">
        <f>IF(K282&lt;&gt;"",K282,G282)</f>
        <v/>
      </c>
      <c r="M282" s="20" t="n"/>
      <c r="N282" s="16" t="n"/>
      <c r="O282" s="20" t="n"/>
      <c r="P282" s="16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20" t="n"/>
      <c r="L283" s="21">
        <f>IF(K283&lt;&gt;"",K283,G283)</f>
        <v/>
      </c>
      <c r="M283" s="20" t="n"/>
      <c r="N283" s="17" t="n"/>
      <c r="O283" s="20" t="n"/>
      <c r="P283" s="17" t="n"/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20" t="n"/>
      <c r="L284" s="21">
        <f>IF(K284&lt;&gt;"",K284,G284)</f>
        <v/>
      </c>
      <c r="M284" s="20" t="n"/>
      <c r="N284" s="16" t="n"/>
      <c r="O284" s="20" t="n"/>
      <c r="P284" s="16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20" t="n"/>
      <c r="L285" s="21">
        <f>IF(K285&lt;&gt;"",K285,G285)</f>
        <v/>
      </c>
      <c r="M285" s="20" t="n"/>
      <c r="N285" s="17" t="n"/>
      <c r="O285" s="20" t="n"/>
      <c r="P285" s="17" t="n"/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20" t="n"/>
      <c r="L286" s="21">
        <f>IF(K286&lt;&gt;"",K286,G286)</f>
        <v/>
      </c>
      <c r="M286" s="20" t="n"/>
      <c r="N286" s="16" t="n"/>
      <c r="O286" s="20" t="n"/>
      <c r="P286" s="16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20" t="n"/>
      <c r="L287" s="21">
        <f>IF(K287&lt;&gt;"",K287,G287)</f>
        <v/>
      </c>
      <c r="M287" s="20" t="n"/>
      <c r="N287" s="17" t="n"/>
      <c r="O287" s="20" t="n"/>
      <c r="P287" s="17" t="n"/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20" t="n"/>
      <c r="L288" s="21">
        <f>IF(K288&lt;&gt;"",K288,G288)</f>
        <v/>
      </c>
      <c r="M288" s="20" t="n"/>
      <c r="N288" s="16" t="n"/>
      <c r="O288" s="20" t="n"/>
      <c r="P288" s="16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20" t="n"/>
      <c r="L289" s="21">
        <f>IF(K289&lt;&gt;"",K289,G289)</f>
        <v/>
      </c>
      <c r="M289" s="20" t="n"/>
      <c r="N289" s="17" t="n"/>
      <c r="O289" s="20" t="n"/>
      <c r="P289" s="17" t="n"/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20" t="n"/>
      <c r="L290" s="21">
        <f>IF(K290&lt;&gt;"",K290,G290)</f>
        <v/>
      </c>
      <c r="M290" s="20" t="n"/>
      <c r="N290" s="16" t="n"/>
      <c r="O290" s="20" t="n"/>
      <c r="P290" s="16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20" t="n"/>
      <c r="L291" s="21">
        <f>IF(K291&lt;&gt;"",K291,G291)</f>
        <v/>
      </c>
      <c r="M291" s="20" t="n"/>
      <c r="N291" s="17" t="n"/>
      <c r="O291" s="20" t="n"/>
      <c r="P291" s="17" t="n"/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20" t="n"/>
      <c r="L292" s="21">
        <f>IF(K292&lt;&gt;"",K292,G292)</f>
        <v/>
      </c>
      <c r="M292" s="20" t="n"/>
      <c r="N292" s="16" t="n"/>
      <c r="O292" s="20" t="n"/>
      <c r="P292" s="16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20" t="n"/>
      <c r="L293" s="21">
        <f>IF(K293&lt;&gt;"",K293,G293)</f>
        <v/>
      </c>
      <c r="M293" s="20" t="n"/>
      <c r="N293" s="17" t="n"/>
      <c r="O293" s="20" t="n"/>
      <c r="P293" s="17" t="n"/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20" t="n"/>
      <c r="L294" s="21">
        <f>IF(K294&lt;&gt;"",K294,G294)</f>
        <v/>
      </c>
      <c r="M294" s="20" t="n"/>
      <c r="N294" s="16" t="n"/>
      <c r="O294" s="20" t="n"/>
      <c r="P294" s="16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20" t="n"/>
      <c r="L295" s="21">
        <f>IF(K295&lt;&gt;"",K295,G295)</f>
        <v/>
      </c>
      <c r="M295" s="20" t="n"/>
      <c r="N295" s="17" t="n"/>
      <c r="O295" s="20" t="n"/>
      <c r="P295" s="17" t="n"/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20" t="n"/>
      <c r="L296" s="21">
        <f>IF(K296&lt;&gt;"",K296,G296)</f>
        <v/>
      </c>
      <c r="M296" s="20" t="n"/>
      <c r="N296" s="16" t="n"/>
      <c r="O296" s="20" t="n"/>
      <c r="P296" s="16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20" t="n"/>
      <c r="L297" s="21">
        <f>IF(K297&lt;&gt;"",K297,G297)</f>
        <v/>
      </c>
      <c r="M297" s="20" t="n"/>
      <c r="N297" s="17" t="n"/>
      <c r="O297" s="20" t="n"/>
      <c r="P297" s="17" t="n"/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20" t="n"/>
      <c r="L298" s="21">
        <f>IF(K298&lt;&gt;"",K298,G298)</f>
        <v/>
      </c>
      <c r="M298" s="20" t="n"/>
      <c r="N298" s="16" t="n"/>
      <c r="O298" s="20" t="n"/>
      <c r="P298" s="16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20" t="n"/>
      <c r="L299" s="21">
        <f>IF(K299&lt;&gt;"",K299,G299)</f>
        <v/>
      </c>
      <c r="M299" s="20" t="n"/>
      <c r="N299" s="17" t="n"/>
      <c r="O299" s="20" t="n"/>
      <c r="P299" s="17" t="n"/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20" t="n"/>
      <c r="L300" s="21">
        <f>IF(K300&lt;&gt;"",K300,G300)</f>
        <v/>
      </c>
      <c r="M300" s="20" t="n"/>
      <c r="N300" s="16" t="n"/>
      <c r="O300" s="20" t="n"/>
      <c r="P300" s="16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20" t="n"/>
      <c r="L301" s="21">
        <f>IF(K301&lt;&gt;"",K301,G301)</f>
        <v/>
      </c>
      <c r="M301" s="20" t="n"/>
      <c r="N301" s="17" t="n"/>
      <c r="O301" s="20" t="n"/>
      <c r="P301" s="17" t="n"/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20" t="n"/>
      <c r="L302" s="21">
        <f>IF(K302&lt;&gt;"",K302,G302)</f>
        <v/>
      </c>
      <c r="M302" s="20" t="n"/>
      <c r="N302" s="16" t="n"/>
      <c r="O302" s="20" t="n"/>
      <c r="P302" s="16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20" t="n"/>
      <c r="L303" s="21">
        <f>IF(K303&lt;&gt;"",K303,G303)</f>
        <v/>
      </c>
      <c r="M303" s="20" t="n"/>
      <c r="N303" s="17" t="n"/>
      <c r="O303" s="20" t="n"/>
      <c r="P303" s="17" t="n"/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20" t="n"/>
      <c r="L304" s="21">
        <f>IF(K304&lt;&gt;"",K304,G304)</f>
        <v/>
      </c>
      <c r="M304" s="20" t="n"/>
      <c r="N304" s="16" t="n"/>
      <c r="O304" s="20" t="n"/>
      <c r="P304" s="16" t="n"/>
    </row>
    <row r="305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20" t="n"/>
      <c r="L305" s="21">
        <f>IF(K305&lt;&gt;"",K305,G305)</f>
        <v/>
      </c>
      <c r="M305" s="20" t="n"/>
      <c r="N305" s="17" t="n"/>
      <c r="O305" s="20" t="n"/>
      <c r="P305" s="17" t="n"/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20" t="n"/>
      <c r="L306" s="21">
        <f>IF(K306&lt;&gt;"",K306,G306)</f>
        <v/>
      </c>
      <c r="M306" s="20" t="n"/>
      <c r="N306" s="16" t="n"/>
      <c r="O306" s="20" t="n"/>
      <c r="P306" s="16" t="n"/>
    </row>
    <row r="307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20" t="n"/>
      <c r="L307" s="21">
        <f>IF(K307&lt;&gt;"",K307,G307)</f>
        <v/>
      </c>
      <c r="M307" s="20" t="n"/>
      <c r="N307" s="17" t="n"/>
      <c r="O307" s="20" t="n"/>
      <c r="P307" s="17" t="n"/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20" t="n"/>
      <c r="L308" s="21">
        <f>IF(K308&lt;&gt;"",K308,G308)</f>
        <v/>
      </c>
      <c r="M308" s="20" t="n"/>
      <c r="N308" s="16" t="n"/>
      <c r="O308" s="20" t="n"/>
      <c r="P308" s="16" t="n"/>
    </row>
    <row r="309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20" t="n"/>
      <c r="L309" s="21">
        <f>IF(K309&lt;&gt;"",K309,G309)</f>
        <v/>
      </c>
      <c r="M309" s="20" t="n"/>
      <c r="N309" s="17" t="n"/>
      <c r="O309" s="20" t="n"/>
      <c r="P309" s="17" t="n"/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20" t="n"/>
      <c r="L310" s="21">
        <f>IF(K310&lt;&gt;"",K310,G310)</f>
        <v/>
      </c>
      <c r="M310" s="20" t="n"/>
      <c r="N310" s="16" t="n"/>
      <c r="O310" s="20" t="n"/>
      <c r="P310" s="16" t="n"/>
    </row>
    <row r="31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20" t="n"/>
      <c r="L311" s="21">
        <f>IF(K311&lt;&gt;"",K311,G311)</f>
        <v/>
      </c>
      <c r="M311" s="20" t="n"/>
      <c r="N311" s="17" t="n"/>
      <c r="O311" s="20" t="n"/>
      <c r="P311" s="17" t="n"/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20" t="n"/>
      <c r="L312" s="21">
        <f>IF(K312&lt;&gt;"",K312,G312)</f>
        <v/>
      </c>
      <c r="M312" s="20" t="n"/>
      <c r="N312" s="16" t="n"/>
      <c r="O312" s="20" t="n"/>
      <c r="P312" s="16" t="n"/>
    </row>
    <row r="313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20" t="n"/>
      <c r="L313" s="21">
        <f>IF(K313&lt;&gt;"",K313,G313)</f>
        <v/>
      </c>
      <c r="M313" s="20" t="n"/>
      <c r="N313" s="17" t="n"/>
      <c r="O313" s="20" t="n"/>
      <c r="P313" s="17" t="n"/>
    </row>
    <row r="31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20" t="n"/>
      <c r="L314" s="21">
        <f>IF(K314&lt;&gt;"",K314,G314)</f>
        <v/>
      </c>
      <c r="M314" s="20" t="n"/>
      <c r="N314" s="16" t="n"/>
      <c r="O314" s="20" t="n"/>
      <c r="P314" s="16" t="n"/>
    </row>
    <row r="315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20" t="n"/>
      <c r="L315" s="21">
        <f>IF(K315&lt;&gt;"",K315,G315)</f>
        <v/>
      </c>
      <c r="M315" s="20" t="n"/>
      <c r="N315" s="17" t="n"/>
      <c r="O315" s="20" t="n"/>
      <c r="P315" s="17" t="n"/>
    </row>
    <row r="316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20" t="n"/>
      <c r="L316" s="21">
        <f>IF(K316&lt;&gt;"",K316,G316)</f>
        <v/>
      </c>
      <c r="M316" s="20" t="n"/>
      <c r="N316" s="16" t="n"/>
      <c r="O316" s="20" t="n"/>
      <c r="P316" s="16" t="n"/>
    </row>
    <row r="317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20" t="n"/>
      <c r="L317" s="21">
        <f>IF(K317&lt;&gt;"",K317,G317)</f>
        <v/>
      </c>
      <c r="M317" s="20" t="n"/>
      <c r="N317" s="17" t="n"/>
      <c r="O317" s="20" t="n"/>
      <c r="P317" s="17" t="n"/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20" t="n"/>
      <c r="L318" s="21">
        <f>IF(K318&lt;&gt;"",K318,G318)</f>
        <v/>
      </c>
      <c r="M318" s="20" t="n"/>
      <c r="N318" s="16" t="n"/>
      <c r="O318" s="20" t="n"/>
      <c r="P318" s="16" t="n"/>
    </row>
    <row r="319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20" t="n"/>
      <c r="L319" s="21">
        <f>IF(K319&lt;&gt;"",K319,G319)</f>
        <v/>
      </c>
      <c r="M319" s="20" t="n"/>
      <c r="N319" s="17" t="n"/>
      <c r="O319" s="20" t="n"/>
      <c r="P319" s="17" t="n"/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20" t="n"/>
      <c r="L320" s="21">
        <f>IF(K320&lt;&gt;"",K320,G320)</f>
        <v/>
      </c>
      <c r="M320" s="20" t="n"/>
      <c r="N320" s="16" t="n"/>
      <c r="O320" s="20" t="n"/>
      <c r="P320" s="16" t="n"/>
    </row>
    <row r="32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20" t="n"/>
      <c r="L321" s="21">
        <f>IF(K321&lt;&gt;"",K321,G321)</f>
        <v/>
      </c>
      <c r="M321" s="20" t="n"/>
      <c r="N321" s="17" t="n"/>
      <c r="O321" s="20" t="n"/>
      <c r="P321" s="17" t="n"/>
    </row>
    <row r="322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20" t="n"/>
      <c r="L322" s="21">
        <f>IF(K322&lt;&gt;"",K322,G322)</f>
        <v/>
      </c>
      <c r="M322" s="20" t="n"/>
      <c r="N322" s="16" t="n"/>
      <c r="O322" s="20" t="n"/>
      <c r="P322" s="16" t="n"/>
    </row>
    <row r="323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20" t="n"/>
      <c r="L323" s="21">
        <f>IF(K323&lt;&gt;"",K323,G323)</f>
        <v/>
      </c>
      <c r="M323" s="20" t="n"/>
      <c r="N323" s="17" t="n"/>
      <c r="O323" s="20" t="n"/>
      <c r="P323" s="17" t="n"/>
    </row>
    <row r="324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20" t="n"/>
      <c r="L324" s="21">
        <f>IF(K324&lt;&gt;"",K324,G324)</f>
        <v/>
      </c>
      <c r="M324" s="20" t="n"/>
      <c r="N324" s="16" t="n"/>
      <c r="O324" s="20" t="n"/>
      <c r="P324" s="16" t="n"/>
    </row>
    <row r="325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20" t="n"/>
      <c r="L325" s="21">
        <f>IF(K325&lt;&gt;"",K325,G325)</f>
        <v/>
      </c>
      <c r="M325" s="20" t="n"/>
      <c r="N325" s="17" t="n"/>
      <c r="O325" s="20" t="n"/>
      <c r="P325" s="17" t="n"/>
    </row>
    <row r="326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20" t="n"/>
      <c r="L326" s="21">
        <f>IF(K326&lt;&gt;"",K326,G326)</f>
        <v/>
      </c>
      <c r="M326" s="20" t="n"/>
      <c r="N326" s="16" t="n"/>
      <c r="O326" s="20" t="n"/>
      <c r="P326" s="16" t="n"/>
    </row>
    <row r="327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20" t="n"/>
      <c r="L327" s="21">
        <f>IF(K327&lt;&gt;"",K327,G327)</f>
        <v/>
      </c>
      <c r="M327" s="20" t="n"/>
      <c r="N327" s="17" t="n"/>
      <c r="O327" s="20" t="n"/>
      <c r="P327" s="17" t="n"/>
    </row>
    <row r="328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20" t="n"/>
      <c r="L328" s="21">
        <f>IF(K328&lt;&gt;"",K328,G328)</f>
        <v/>
      </c>
      <c r="M328" s="20" t="n"/>
      <c r="N328" s="16" t="n"/>
      <c r="O328" s="20" t="n"/>
      <c r="P328" s="16" t="n"/>
    </row>
    <row r="329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20" t="n"/>
      <c r="L329" s="21">
        <f>IF(K329&lt;&gt;"",K329,G329)</f>
        <v/>
      </c>
      <c r="M329" s="20" t="n"/>
      <c r="N329" s="17" t="n"/>
      <c r="O329" s="20" t="n"/>
      <c r="P329" s="17" t="n"/>
    </row>
    <row r="330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20" t="n"/>
      <c r="L330" s="21">
        <f>IF(K330&lt;&gt;"",K330,G330)</f>
        <v/>
      </c>
      <c r="M330" s="20" t="n"/>
      <c r="N330" s="16" t="n"/>
      <c r="O330" s="20" t="n"/>
      <c r="P330" s="16" t="n"/>
    </row>
    <row r="33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20" t="n"/>
      <c r="L331" s="21">
        <f>IF(K331&lt;&gt;"",K331,G331)</f>
        <v/>
      </c>
      <c r="M331" s="20" t="n"/>
      <c r="N331" s="17" t="n"/>
      <c r="O331" s="20" t="n"/>
      <c r="P331" s="17" t="n"/>
    </row>
    <row r="332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20" t="n"/>
      <c r="L332" s="21">
        <f>IF(K332&lt;&gt;"",K332,G332)</f>
        <v/>
      </c>
      <c r="M332" s="20" t="n"/>
      <c r="N332" s="16" t="n"/>
      <c r="O332" s="20" t="n"/>
      <c r="P332" s="16" t="n"/>
    </row>
    <row r="333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20" t="n"/>
      <c r="L333" s="21">
        <f>IF(K333&lt;&gt;"",K333,G333)</f>
        <v/>
      </c>
      <c r="M333" s="20" t="n"/>
      <c r="N333" s="17" t="n"/>
      <c r="O333" s="20" t="n"/>
      <c r="P333" s="17" t="n"/>
    </row>
    <row r="334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20" t="n"/>
      <c r="L334" s="21">
        <f>IF(K334&lt;&gt;"",K334,G334)</f>
        <v/>
      </c>
      <c r="M334" s="20" t="n"/>
      <c r="N334" s="16" t="n"/>
      <c r="O334" s="20" t="n"/>
      <c r="P334" s="16" t="n"/>
    </row>
    <row r="335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20" t="n"/>
      <c r="L335" s="21">
        <f>IF(K335&lt;&gt;"",K335,G335)</f>
        <v/>
      </c>
      <c r="M335" s="20" t="n"/>
      <c r="N335" s="17" t="n"/>
      <c r="O335" s="20" t="n"/>
      <c r="P335" s="17" t="n"/>
    </row>
    <row r="336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20" t="n"/>
      <c r="L336" s="21">
        <f>IF(K336&lt;&gt;"",K336,G336)</f>
        <v/>
      </c>
      <c r="M336" s="20" t="n"/>
      <c r="N336" s="16" t="n"/>
      <c r="O336" s="20" t="n"/>
      <c r="P336" s="16" t="n"/>
    </row>
    <row r="337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20" t="n"/>
      <c r="L337" s="21">
        <f>IF(K337&lt;&gt;"",K337,G337)</f>
        <v/>
      </c>
      <c r="M337" s="20" t="n"/>
      <c r="N337" s="17" t="n"/>
      <c r="O337" s="20" t="n"/>
      <c r="P337" s="17" t="n"/>
    </row>
    <row r="338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20" t="n"/>
      <c r="L338" s="21">
        <f>IF(K338&lt;&gt;"",K338,G338)</f>
        <v/>
      </c>
      <c r="M338" s="20" t="n"/>
      <c r="N338" s="16" t="n"/>
      <c r="O338" s="20" t="n"/>
      <c r="P338" s="16" t="n"/>
    </row>
    <row r="339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20" t="n"/>
      <c r="L339" s="21">
        <f>IF(K339&lt;&gt;"",K339,G339)</f>
        <v/>
      </c>
      <c r="M339" s="20" t="n"/>
      <c r="N339" s="17" t="n"/>
      <c r="O339" s="20" t="n"/>
      <c r="P339" s="17" t="n"/>
    </row>
    <row r="340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20" t="n"/>
      <c r="L340" s="21">
        <f>IF(K340&lt;&gt;"",K340,G340)</f>
        <v/>
      </c>
      <c r="M340" s="20" t="n"/>
      <c r="N340" s="16" t="n"/>
      <c r="O340" s="20" t="n"/>
      <c r="P340" s="16" t="n"/>
    </row>
    <row r="34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20" t="n"/>
      <c r="L341" s="21">
        <f>IF(K341&lt;&gt;"",K341,G341)</f>
        <v/>
      </c>
      <c r="M341" s="20" t="n"/>
      <c r="N341" s="17" t="n"/>
      <c r="O341" s="20" t="n"/>
      <c r="P341" s="17" t="n"/>
    </row>
    <row r="342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20" t="n"/>
      <c r="L342" s="21">
        <f>IF(K342&lt;&gt;"",K342,G342)</f>
        <v/>
      </c>
      <c r="M342" s="20" t="n"/>
      <c r="N342" s="16" t="n"/>
      <c r="O342" s="20" t="n"/>
      <c r="P342" s="16" t="n"/>
    </row>
    <row r="343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20" t="n"/>
      <c r="L343" s="21">
        <f>IF(K343&lt;&gt;"",K343,G343)</f>
        <v/>
      </c>
      <c r="M343" s="20" t="n"/>
      <c r="N343" s="17" t="n"/>
      <c r="O343" s="20" t="n"/>
      <c r="P343" s="17" t="n"/>
    </row>
    <row r="344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20" t="n"/>
      <c r="L344" s="21">
        <f>IF(K344&lt;&gt;"",K344,G344)</f>
        <v/>
      </c>
      <c r="M344" s="20" t="n"/>
      <c r="N344" s="16" t="n"/>
      <c r="O344" s="20" t="n"/>
      <c r="P344" s="16" t="n"/>
    </row>
    <row r="345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20" t="n"/>
      <c r="L345" s="21">
        <f>IF(K345&lt;&gt;"",K345,G345)</f>
        <v/>
      </c>
      <c r="M345" s="20" t="n"/>
      <c r="N345" s="17" t="n"/>
      <c r="O345" s="20" t="n"/>
      <c r="P345" s="17" t="n"/>
    </row>
    <row r="346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20" t="n"/>
      <c r="L346" s="21">
        <f>IF(K346&lt;&gt;"",K346,G346)</f>
        <v/>
      </c>
      <c r="M346" s="20" t="n"/>
      <c r="N346" s="16" t="n"/>
      <c r="O346" s="20" t="n"/>
      <c r="P346" s="16" t="n"/>
    </row>
    <row r="347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20" t="n"/>
      <c r="L347" s="21">
        <f>IF(K347&lt;&gt;"",K347,G347)</f>
        <v/>
      </c>
      <c r="M347" s="20" t="n"/>
      <c r="N347" s="17" t="n"/>
      <c r="O347" s="20" t="n"/>
      <c r="P347" s="17" t="n"/>
    </row>
    <row r="348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20" t="n"/>
      <c r="L348" s="21">
        <f>IF(K348&lt;&gt;"",K348,G348)</f>
        <v/>
      </c>
      <c r="M348" s="20" t="n"/>
      <c r="N348" s="16" t="n"/>
      <c r="O348" s="20" t="n"/>
      <c r="P348" s="16" t="n"/>
    </row>
    <row r="349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20" t="n"/>
      <c r="L349" s="21">
        <f>IF(K349&lt;&gt;"",K349,G349)</f>
        <v/>
      </c>
      <c r="M349" s="20" t="n"/>
      <c r="N349" s="17" t="n"/>
      <c r="O349" s="20" t="n"/>
      <c r="P349" s="17" t="n"/>
    </row>
    <row r="350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20" t="n"/>
      <c r="L350" s="21">
        <f>IF(K350&lt;&gt;"",K350,G350)</f>
        <v/>
      </c>
      <c r="M350" s="20" t="n"/>
      <c r="N350" s="16" t="n"/>
      <c r="O350" s="20" t="n"/>
      <c r="P350" s="16" t="n"/>
    </row>
    <row r="35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20" t="n"/>
      <c r="L351" s="21">
        <f>IF(K351&lt;&gt;"",K351,G351)</f>
        <v/>
      </c>
      <c r="M351" s="20" t="n"/>
      <c r="N351" s="17" t="n"/>
      <c r="O351" s="20" t="n"/>
      <c r="P351" s="17" t="n"/>
    </row>
    <row r="352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20" t="n"/>
      <c r="L352" s="21">
        <f>IF(K352&lt;&gt;"",K352,G352)</f>
        <v/>
      </c>
      <c r="M352" s="20" t="n"/>
      <c r="N352" s="16" t="n"/>
      <c r="O352" s="20" t="n"/>
      <c r="P352" s="16" t="n"/>
    </row>
    <row r="353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20" t="n"/>
      <c r="L353" s="21">
        <f>IF(K353&lt;&gt;"",K353,G353)</f>
        <v/>
      </c>
      <c r="M353" s="20" t="n"/>
      <c r="N353" s="17" t="n"/>
      <c r="O353" s="20" t="n"/>
      <c r="P353" s="17" t="n"/>
    </row>
    <row r="354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20" t="n"/>
      <c r="L354" s="21">
        <f>IF(K354&lt;&gt;"",K354,G354)</f>
        <v/>
      </c>
      <c r="M354" s="20" t="n"/>
      <c r="N354" s="16" t="n"/>
      <c r="O354" s="20" t="n"/>
      <c r="P354" s="16" t="n"/>
    </row>
    <row r="355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20" t="n"/>
      <c r="L355" s="21">
        <f>IF(K355&lt;&gt;"",K355,G355)</f>
        <v/>
      </c>
      <c r="M355" s="20" t="n"/>
      <c r="N355" s="17" t="n"/>
      <c r="O355" s="20" t="n"/>
      <c r="P355" s="17" t="n"/>
    </row>
    <row r="356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20" t="n"/>
      <c r="L356" s="21">
        <f>IF(K356&lt;&gt;"",K356,G356)</f>
        <v/>
      </c>
      <c r="M356" s="20" t="n"/>
      <c r="N356" s="16" t="n"/>
      <c r="O356" s="20" t="n"/>
      <c r="P356" s="16" t="n"/>
    </row>
    <row r="357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20" t="n"/>
      <c r="L357" s="21">
        <f>IF(K357&lt;&gt;"",K357,G357)</f>
        <v/>
      </c>
      <c r="M357" s="20" t="n"/>
      <c r="N357" s="17" t="n"/>
      <c r="O357" s="20" t="n"/>
      <c r="P357" s="17" t="n"/>
    </row>
    <row r="358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20" t="n"/>
      <c r="L358" s="21">
        <f>IF(K358&lt;&gt;"",K358,G358)</f>
        <v/>
      </c>
      <c r="M358" s="20" t="n"/>
      <c r="N358" s="16" t="n"/>
      <c r="O358" s="20" t="n"/>
      <c r="P358" s="16" t="n"/>
    </row>
    <row r="359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20" t="n"/>
      <c r="L359" s="21">
        <f>IF(K359&lt;&gt;"",K359,G359)</f>
        <v/>
      </c>
      <c r="M359" s="20" t="n"/>
      <c r="N359" s="17" t="n"/>
      <c r="O359" s="20" t="n"/>
      <c r="P359" s="17" t="n"/>
    </row>
    <row r="360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20" t="n"/>
      <c r="L360" s="21">
        <f>IF(K360&lt;&gt;"",K360,G360)</f>
        <v/>
      </c>
      <c r="M360" s="20" t="n"/>
      <c r="N360" s="16" t="n"/>
      <c r="O360" s="20" t="n"/>
      <c r="P360" s="16" t="n"/>
    </row>
    <row r="36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20" t="n"/>
      <c r="L361" s="21">
        <f>IF(K361&lt;&gt;"",K361,G361)</f>
        <v/>
      </c>
      <c r="M361" s="20" t="n"/>
      <c r="N361" s="17" t="n"/>
      <c r="O361" s="20" t="n"/>
      <c r="P361" s="17" t="n"/>
    </row>
    <row r="362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20" t="n"/>
      <c r="L362" s="21">
        <f>IF(K362&lt;&gt;"",K362,G362)</f>
        <v/>
      </c>
      <c r="M362" s="20" t="n"/>
      <c r="N362" s="16" t="n"/>
      <c r="O362" s="20" t="n"/>
      <c r="P362" s="16" t="n"/>
    </row>
    <row r="363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20" t="n"/>
      <c r="L363" s="21">
        <f>IF(K363&lt;&gt;"",K363,G363)</f>
        <v/>
      </c>
      <c r="M363" s="20" t="n"/>
      <c r="N363" s="17" t="n"/>
      <c r="O363" s="20" t="n"/>
      <c r="P363" s="17" t="n"/>
    </row>
    <row r="364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20" t="n"/>
      <c r="L364" s="21">
        <f>IF(K364&lt;&gt;"",K364,G364)</f>
        <v/>
      </c>
      <c r="M364" s="20" t="n"/>
      <c r="N364" s="16" t="n"/>
      <c r="O364" s="20" t="n"/>
      <c r="P364" s="16" t="n"/>
    </row>
    <row r="365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20" t="n"/>
      <c r="L365" s="21">
        <f>IF(K365&lt;&gt;"",K365,G365)</f>
        <v/>
      </c>
      <c r="M365" s="20" t="n"/>
      <c r="N365" s="17" t="n"/>
      <c r="O365" s="20" t="n"/>
      <c r="P365" s="17" t="n"/>
    </row>
    <row r="366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20" t="n"/>
      <c r="L366" s="21">
        <f>IF(K366&lt;&gt;"",K366,G366)</f>
        <v/>
      </c>
      <c r="M366" s="20" t="n"/>
      <c r="N366" s="16" t="n"/>
      <c r="O366" s="20" t="n"/>
      <c r="P366" s="16" t="n"/>
    </row>
    <row r="367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20" t="n"/>
      <c r="L367" s="21">
        <f>IF(K367&lt;&gt;"",K367,G367)</f>
        <v/>
      </c>
      <c r="M367" s="20" t="n"/>
      <c r="N367" s="17" t="n"/>
      <c r="O367" s="20" t="n"/>
      <c r="P367" s="17" t="n"/>
    </row>
    <row r="368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20" t="n"/>
      <c r="L368" s="21">
        <f>IF(K368&lt;&gt;"",K368,G368)</f>
        <v/>
      </c>
      <c r="M368" s="20" t="n"/>
      <c r="N368" s="16" t="n"/>
      <c r="O368" s="20" t="n"/>
      <c r="P368" s="16" t="n"/>
    </row>
    <row r="369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20" t="n"/>
      <c r="L369" s="21">
        <f>IF(K369&lt;&gt;"",K369,G369)</f>
        <v/>
      </c>
      <c r="M369" s="20" t="n"/>
      <c r="N369" s="17" t="n"/>
      <c r="O369" s="20" t="n"/>
      <c r="P369" s="17" t="n"/>
    </row>
    <row r="370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20" t="n"/>
      <c r="L370" s="21">
        <f>IF(K370&lt;&gt;"",K370,G370)</f>
        <v/>
      </c>
      <c r="M370" s="20" t="n"/>
      <c r="N370" s="16" t="n"/>
      <c r="O370" s="20" t="n"/>
      <c r="P370" s="16" t="n"/>
    </row>
    <row r="37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20" t="n"/>
      <c r="L371" s="21">
        <f>IF(K371&lt;&gt;"",K371,G371)</f>
        <v/>
      </c>
      <c r="M371" s="20" t="n"/>
      <c r="N371" s="17" t="n"/>
      <c r="O371" s="20" t="n"/>
      <c r="P371" s="17" t="n"/>
    </row>
    <row r="372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20" t="n"/>
      <c r="L372" s="21">
        <f>IF(K372&lt;&gt;"",K372,G372)</f>
        <v/>
      </c>
      <c r="M372" s="20" t="n"/>
      <c r="N372" s="16" t="n"/>
      <c r="O372" s="20" t="n"/>
      <c r="P372" s="16" t="n"/>
    </row>
    <row r="373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20" t="n"/>
      <c r="L373" s="21">
        <f>IF(K373&lt;&gt;"",K373,G373)</f>
        <v/>
      </c>
      <c r="M373" s="20" t="n"/>
      <c r="N373" s="17" t="n"/>
      <c r="O373" s="20" t="n"/>
      <c r="P373" s="17" t="n"/>
    </row>
    <row r="374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20" t="n"/>
      <c r="L374" s="21">
        <f>IF(K374&lt;&gt;"",K374,G374)</f>
        <v/>
      </c>
      <c r="M374" s="20" t="n"/>
      <c r="N374" s="16" t="n"/>
      <c r="O374" s="20" t="n"/>
      <c r="P374" s="16" t="n"/>
    </row>
    <row r="375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20" t="n"/>
      <c r="L375" s="21">
        <f>IF(K375&lt;&gt;"",K375,G375)</f>
        <v/>
      </c>
      <c r="M375" s="20" t="n"/>
      <c r="N375" s="17" t="n"/>
      <c r="O375" s="20" t="n"/>
      <c r="P375" s="17" t="n"/>
    </row>
    <row r="376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20" t="n"/>
      <c r="L376" s="21">
        <f>IF(K376&lt;&gt;"",K376,G376)</f>
        <v/>
      </c>
      <c r="M376" s="20" t="n"/>
      <c r="N376" s="16" t="n"/>
      <c r="O376" s="20" t="n"/>
      <c r="P376" s="16" t="n"/>
    </row>
    <row r="377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20" t="n"/>
      <c r="L377" s="21">
        <f>IF(K377&lt;&gt;"",K377,G377)</f>
        <v/>
      </c>
      <c r="M377" s="20" t="n"/>
      <c r="N377" s="17" t="n"/>
      <c r="O377" s="20" t="n"/>
      <c r="P377" s="17" t="n"/>
    </row>
    <row r="378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20" t="n"/>
      <c r="L378" s="21">
        <f>IF(K378&lt;&gt;"",K378,G378)</f>
        <v/>
      </c>
      <c r="M378" s="20" t="n"/>
      <c r="N378" s="16" t="n"/>
      <c r="O378" s="20" t="n"/>
      <c r="P378" s="16" t="n"/>
    </row>
    <row r="379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20" t="n"/>
      <c r="L379" s="21">
        <f>IF(K379&lt;&gt;"",K379,G379)</f>
        <v/>
      </c>
      <c r="M379" s="20" t="n"/>
      <c r="N379" s="17" t="n"/>
      <c r="O379" s="20" t="n"/>
      <c r="P379" s="17" t="n"/>
    </row>
    <row r="380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20" t="n"/>
      <c r="L380" s="21">
        <f>IF(K380&lt;&gt;"",K380,G380)</f>
        <v/>
      </c>
      <c r="M380" s="20" t="n"/>
      <c r="N380" s="16" t="n"/>
      <c r="O380" s="20" t="n"/>
      <c r="P380" s="16" t="n"/>
    </row>
    <row r="38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20" t="n"/>
      <c r="L381" s="21">
        <f>IF(K381&lt;&gt;"",K381,G381)</f>
        <v/>
      </c>
      <c r="M381" s="20" t="n"/>
      <c r="N381" s="17" t="n"/>
      <c r="O381" s="20" t="n"/>
      <c r="P381" s="17" t="n"/>
    </row>
    <row r="382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20" t="n"/>
      <c r="L382" s="21">
        <f>IF(K382&lt;&gt;"",K382,G382)</f>
        <v/>
      </c>
      <c r="M382" s="20" t="n"/>
      <c r="N382" s="16" t="n"/>
      <c r="O382" s="20" t="n"/>
      <c r="P382" s="16" t="n"/>
    </row>
    <row r="383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20" t="n"/>
      <c r="L383" s="21">
        <f>IF(K383&lt;&gt;"",K383,G383)</f>
        <v/>
      </c>
      <c r="M383" s="20" t="n"/>
      <c r="N383" s="17" t="n"/>
      <c r="O383" s="20" t="n"/>
      <c r="P383" s="17" t="n"/>
    </row>
    <row r="384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20" t="n"/>
      <c r="L384" s="21">
        <f>IF(K384&lt;&gt;"",K384,G384)</f>
        <v/>
      </c>
      <c r="M384" s="20" t="n"/>
      <c r="N384" s="16" t="n"/>
      <c r="O384" s="20" t="n"/>
      <c r="P384" s="16" t="n"/>
    </row>
    <row r="385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20" t="n"/>
      <c r="L385" s="21">
        <f>IF(K385&lt;&gt;"",K385,G385)</f>
        <v/>
      </c>
      <c r="M385" s="20" t="n"/>
      <c r="N385" s="17" t="n"/>
      <c r="O385" s="20" t="n"/>
      <c r="P385" s="17" t="n"/>
    </row>
    <row r="386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20" t="n"/>
      <c r="L386" s="21">
        <f>IF(K386&lt;&gt;"",K386,G386)</f>
        <v/>
      </c>
      <c r="M386" s="20" t="n"/>
      <c r="N386" s="16" t="n"/>
      <c r="O386" s="20" t="n"/>
      <c r="P386" s="16" t="n"/>
    </row>
    <row r="387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20" t="n"/>
      <c r="L387" s="21">
        <f>IF(K387&lt;&gt;"",K387,G387)</f>
        <v/>
      </c>
      <c r="M387" s="20" t="n"/>
      <c r="N387" s="17" t="n"/>
      <c r="O387" s="20" t="n"/>
      <c r="P387" s="17" t="n"/>
    </row>
    <row r="388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20" t="n"/>
      <c r="L388" s="21">
        <f>IF(K388&lt;&gt;"",K388,G388)</f>
        <v/>
      </c>
      <c r="M388" s="20" t="n"/>
      <c r="N388" s="16" t="n"/>
      <c r="O388" s="20" t="n"/>
      <c r="P388" s="16" t="n"/>
    </row>
    <row r="389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20" t="n"/>
      <c r="L389" s="21">
        <f>IF(K389&lt;&gt;"",K389,G389)</f>
        <v/>
      </c>
      <c r="M389" s="20" t="n"/>
      <c r="N389" s="17" t="n"/>
      <c r="O389" s="20" t="n"/>
      <c r="P389" s="17" t="n"/>
    </row>
    <row r="390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20" t="n"/>
      <c r="L390" s="21">
        <f>IF(K390&lt;&gt;"",K390,G390)</f>
        <v/>
      </c>
      <c r="M390" s="20" t="n"/>
      <c r="N390" s="16" t="n"/>
      <c r="O390" s="20" t="n"/>
      <c r="P390" s="16" t="n"/>
    </row>
    <row r="39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20" t="n"/>
      <c r="L391" s="21">
        <f>IF(K391&lt;&gt;"",K391,G391)</f>
        <v/>
      </c>
      <c r="M391" s="20" t="n"/>
      <c r="N391" s="17" t="n"/>
      <c r="O391" s="20" t="n"/>
      <c r="P391" s="17" t="n"/>
    </row>
    <row r="392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20" t="n"/>
      <c r="L392" s="21">
        <f>IF(K392&lt;&gt;"",K392,G392)</f>
        <v/>
      </c>
      <c r="M392" s="20" t="n"/>
      <c r="N392" s="16" t="n"/>
      <c r="O392" s="20" t="n"/>
      <c r="P392" s="16" t="n"/>
    </row>
    <row r="393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20" t="n"/>
      <c r="L393" s="21">
        <f>IF(K393&lt;&gt;"",K393,G393)</f>
        <v/>
      </c>
      <c r="M393" s="20" t="n"/>
      <c r="N393" s="17" t="n"/>
      <c r="O393" s="20" t="n"/>
      <c r="P393" s="17" t="n"/>
    </row>
    <row r="394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20" t="n"/>
      <c r="L394" s="21">
        <f>IF(K394&lt;&gt;"",K394,G394)</f>
        <v/>
      </c>
      <c r="M394" s="20" t="n"/>
      <c r="N394" s="16" t="n"/>
      <c r="O394" s="20" t="n"/>
      <c r="P394" s="16" t="n"/>
    </row>
    <row r="395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20" t="n"/>
      <c r="L395" s="21">
        <f>IF(K395&lt;&gt;"",K395,G395)</f>
        <v/>
      </c>
      <c r="M395" s="20" t="n"/>
      <c r="N395" s="17" t="n"/>
      <c r="O395" s="20" t="n"/>
      <c r="P395" s="17" t="n"/>
    </row>
    <row r="396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20" t="n"/>
      <c r="L396" s="21">
        <f>IF(K396&lt;&gt;"",K396,G396)</f>
        <v/>
      </c>
      <c r="M396" s="20" t="n"/>
      <c r="N396" s="16" t="n"/>
      <c r="O396" s="20" t="n"/>
      <c r="P396" s="16" t="n"/>
    </row>
    <row r="397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20" t="n"/>
      <c r="L397" s="21">
        <f>IF(K397&lt;&gt;"",K397,G397)</f>
        <v/>
      </c>
      <c r="M397" s="20" t="n"/>
      <c r="N397" s="17" t="n"/>
      <c r="O397" s="20" t="n"/>
      <c r="P397" s="17" t="n"/>
    </row>
    <row r="398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20" t="n"/>
      <c r="L398" s="21">
        <f>IF(K398&lt;&gt;"",K398,G398)</f>
        <v/>
      </c>
      <c r="M398" s="20" t="n"/>
      <c r="N398" s="16" t="n"/>
      <c r="O398" s="20" t="n"/>
      <c r="P398" s="16" t="n"/>
    </row>
    <row r="399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20" t="n"/>
      <c r="L399" s="21">
        <f>IF(K399&lt;&gt;"",K399,G399)</f>
        <v/>
      </c>
      <c r="M399" s="20" t="n"/>
      <c r="N399" s="17" t="n"/>
      <c r="O399" s="20" t="n"/>
      <c r="P399" s="17" t="n"/>
    </row>
    <row r="400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20" t="n"/>
      <c r="L400" s="21">
        <f>IF(K400&lt;&gt;"",K400,G400)</f>
        <v/>
      </c>
      <c r="M400" s="20" t="n"/>
      <c r="N400" s="16" t="n"/>
      <c r="O400" s="20" t="n"/>
      <c r="P400" s="16" t="n"/>
    </row>
    <row r="40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20" t="n"/>
      <c r="L401" s="21">
        <f>IF(K401&lt;&gt;"",K401,G401)</f>
        <v/>
      </c>
      <c r="M401" s="20" t="n"/>
      <c r="N401" s="17" t="n"/>
      <c r="O401" s="20" t="n"/>
      <c r="P401" s="17" t="n"/>
    </row>
    <row r="402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20" t="n"/>
      <c r="L402" s="21">
        <f>IF(K402&lt;&gt;"",K402,G402)</f>
        <v/>
      </c>
      <c r="M402" s="20" t="n"/>
      <c r="N402" s="16" t="n"/>
      <c r="O402" s="20" t="n"/>
      <c r="P402" s="16" t="n"/>
    </row>
    <row r="403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20" t="n"/>
      <c r="L403" s="21">
        <f>IF(K403&lt;&gt;"",K403,G403)</f>
        <v/>
      </c>
      <c r="M403" s="20" t="n"/>
      <c r="N403" s="17" t="n"/>
      <c r="O403" s="20" t="n"/>
      <c r="P403" s="17" t="n"/>
    </row>
    <row r="404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20" t="n"/>
      <c r="L404" s="21">
        <f>IF(K404&lt;&gt;"",K404,G404)</f>
        <v/>
      </c>
      <c r="M404" s="20" t="n"/>
      <c r="N404" s="16" t="n"/>
      <c r="O404" s="20" t="n"/>
      <c r="P404" s="16" t="n"/>
    </row>
    <row r="405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20" t="n"/>
      <c r="L405" s="21">
        <f>IF(K405&lt;&gt;"",K405,G405)</f>
        <v/>
      </c>
      <c r="M405" s="20" t="n"/>
      <c r="N405" s="17" t="n"/>
      <c r="O405" s="20" t="n"/>
      <c r="P405" s="17" t="n"/>
    </row>
    <row r="406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20" t="n"/>
      <c r="L406" s="21">
        <f>IF(K406&lt;&gt;"",K406,G406)</f>
        <v/>
      </c>
      <c r="M406" s="20" t="n"/>
      <c r="N406" s="16" t="n"/>
      <c r="O406" s="20" t="n"/>
      <c r="P406" s="16" t="n"/>
    </row>
    <row r="407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20" t="n"/>
      <c r="L407" s="21">
        <f>IF(K407&lt;&gt;"",K407,G407)</f>
        <v/>
      </c>
      <c r="M407" s="20" t="n"/>
      <c r="N407" s="17" t="n"/>
      <c r="O407" s="20" t="n"/>
      <c r="P407" s="17" t="n"/>
    </row>
    <row r="408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20" t="n"/>
      <c r="L408" s="21">
        <f>IF(K408&lt;&gt;"",K408,G408)</f>
        <v/>
      </c>
      <c r="M408" s="20" t="n"/>
      <c r="N408" s="16" t="n"/>
      <c r="O408" s="20" t="n"/>
      <c r="P408" s="16" t="n"/>
    </row>
    <row r="409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20" t="n"/>
      <c r="L409" s="21">
        <f>IF(K409&lt;&gt;"",K409,G409)</f>
        <v/>
      </c>
      <c r="M409" s="20" t="n"/>
      <c r="N409" s="17" t="n"/>
      <c r="O409" s="20" t="n"/>
      <c r="P409" s="17" t="n"/>
    </row>
    <row r="410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20" t="n"/>
      <c r="L410" s="21">
        <f>IF(K410&lt;&gt;"",K410,G410)</f>
        <v/>
      </c>
      <c r="M410" s="20" t="n"/>
      <c r="N410" s="16" t="n"/>
      <c r="O410" s="20" t="n"/>
      <c r="P410" s="16" t="n"/>
    </row>
    <row r="41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20" t="n"/>
      <c r="L411" s="21">
        <f>IF(K411&lt;&gt;"",K411,G411)</f>
        <v/>
      </c>
      <c r="M411" s="20" t="n"/>
      <c r="N411" s="17" t="n"/>
      <c r="O411" s="20" t="n"/>
      <c r="P411" s="17" t="n"/>
    </row>
    <row r="412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20" t="n"/>
      <c r="L412" s="21">
        <f>IF(K412&lt;&gt;"",K412,G412)</f>
        <v/>
      </c>
      <c r="M412" s="20" t="n"/>
      <c r="N412" s="16" t="n"/>
      <c r="O412" s="20" t="n"/>
      <c r="P412" s="16" t="n"/>
    </row>
    <row r="413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20" t="n"/>
      <c r="L413" s="21">
        <f>IF(K413&lt;&gt;"",K413,G413)</f>
        <v/>
      </c>
      <c r="M413" s="20" t="n"/>
      <c r="N413" s="17" t="n"/>
      <c r="O413" s="20" t="n"/>
      <c r="P413" s="17" t="n"/>
    </row>
    <row r="414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20" t="n"/>
      <c r="L414" s="21">
        <f>IF(K414&lt;&gt;"",K414,G414)</f>
        <v/>
      </c>
      <c r="M414" s="20" t="n"/>
      <c r="N414" s="16" t="n"/>
      <c r="O414" s="20" t="n"/>
      <c r="P414" s="16" t="n"/>
    </row>
    <row r="415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20" t="n"/>
      <c r="L415" s="21">
        <f>IF(K415&lt;&gt;"",K415,G415)</f>
        <v/>
      </c>
      <c r="M415" s="20" t="n"/>
      <c r="N415" s="17" t="n"/>
      <c r="O415" s="20" t="n"/>
      <c r="P415" s="17" t="n"/>
    </row>
    <row r="416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20" t="n"/>
      <c r="L416" s="21">
        <f>IF(K416&lt;&gt;"",K416,G416)</f>
        <v/>
      </c>
      <c r="M416" s="20" t="n"/>
      <c r="N416" s="16" t="n"/>
      <c r="O416" s="20" t="n"/>
      <c r="P416" s="16" t="n"/>
    </row>
    <row r="417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20" t="n"/>
      <c r="L417" s="21">
        <f>IF(K417&lt;&gt;"",K417,G417)</f>
        <v/>
      </c>
      <c r="M417" s="20" t="n"/>
      <c r="N417" s="17" t="n"/>
      <c r="O417" s="20" t="n"/>
      <c r="P417" s="17" t="n"/>
    </row>
    <row r="418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20" t="n"/>
      <c r="L418" s="21">
        <f>IF(K418&lt;&gt;"",K418,G418)</f>
        <v/>
      </c>
      <c r="M418" s="20" t="n"/>
      <c r="N418" s="16" t="n"/>
      <c r="O418" s="20" t="n"/>
      <c r="P418" s="16" t="n"/>
    </row>
    <row r="419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20" t="n"/>
      <c r="L419" s="21">
        <f>IF(K419&lt;&gt;"",K419,G419)</f>
        <v/>
      </c>
      <c r="M419" s="20" t="n"/>
      <c r="N419" s="17" t="n"/>
      <c r="O419" s="20" t="n"/>
      <c r="P419" s="17" t="n"/>
    </row>
    <row r="420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20" t="n"/>
      <c r="L420" s="21">
        <f>IF(K420&lt;&gt;"",K420,G420)</f>
        <v/>
      </c>
      <c r="M420" s="20" t="n"/>
      <c r="N420" s="16" t="n"/>
      <c r="O420" s="20" t="n"/>
      <c r="P420" s="16" t="n"/>
    </row>
    <row r="421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20" t="n"/>
      <c r="L421" s="21">
        <f>IF(K421&lt;&gt;"",K421,G421)</f>
        <v/>
      </c>
      <c r="M421" s="20" t="n"/>
      <c r="N421" s="17" t="n"/>
      <c r="O421" s="20" t="n"/>
      <c r="P421" s="17" t="n"/>
    </row>
    <row r="422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20" t="n"/>
      <c r="L422" s="21">
        <f>IF(K422&lt;&gt;"",K422,G422)</f>
        <v/>
      </c>
      <c r="M422" s="20" t="n"/>
      <c r="N422" s="16" t="n"/>
      <c r="O422" s="20" t="n"/>
      <c r="P422" s="16" t="n"/>
    </row>
    <row r="423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20" t="n"/>
      <c r="L423" s="21">
        <f>IF(K423&lt;&gt;"",K423,G423)</f>
        <v/>
      </c>
      <c r="M423" s="20" t="n"/>
      <c r="N423" s="17" t="n"/>
      <c r="O423" s="20" t="n"/>
      <c r="P423" s="17" t="n"/>
    </row>
    <row r="424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20" t="n"/>
      <c r="L424" s="21">
        <f>IF(K424&lt;&gt;"",K424,G424)</f>
        <v/>
      </c>
      <c r="M424" s="20" t="n"/>
      <c r="N424" s="16" t="n"/>
      <c r="O424" s="20" t="n"/>
      <c r="P424" s="16" t="n"/>
    </row>
    <row r="425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20" t="n"/>
      <c r="L425" s="21">
        <f>IF(K425&lt;&gt;"",K425,G425)</f>
        <v/>
      </c>
      <c r="M425" s="20" t="n"/>
      <c r="N425" s="17" t="n"/>
      <c r="O425" s="20" t="n"/>
      <c r="P425" s="17" t="n"/>
    </row>
    <row r="426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20" t="n"/>
      <c r="L426" s="21">
        <f>IF(K426&lt;&gt;"",K426,G426)</f>
        <v/>
      </c>
      <c r="M426" s="20" t="n"/>
      <c r="N426" s="16" t="n"/>
      <c r="O426" s="20" t="n"/>
      <c r="P426" s="16" t="n"/>
    </row>
    <row r="427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20" t="n"/>
      <c r="L427" s="21">
        <f>IF(K427&lt;&gt;"",K427,G427)</f>
        <v/>
      </c>
      <c r="M427" s="20" t="n"/>
      <c r="N427" s="17" t="n"/>
      <c r="O427" s="20" t="n"/>
      <c r="P427" s="17" t="n"/>
    </row>
    <row r="428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20" t="n"/>
      <c r="L428" s="21">
        <f>IF(K428&lt;&gt;"",K428,G428)</f>
        <v/>
      </c>
      <c r="M428" s="20" t="n"/>
      <c r="N428" s="16" t="n"/>
      <c r="O428" s="20" t="n"/>
      <c r="P428" s="16" t="n"/>
    </row>
    <row r="429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20" t="n"/>
      <c r="L429" s="21">
        <f>IF(K429&lt;&gt;"",K429,G429)</f>
        <v/>
      </c>
      <c r="M429" s="20" t="n"/>
      <c r="N429" s="17" t="n"/>
      <c r="O429" s="20" t="n"/>
      <c r="P429" s="17" t="n"/>
    </row>
    <row r="430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20" t="n"/>
      <c r="L430" s="21">
        <f>IF(K430&lt;&gt;"",K430,G430)</f>
        <v/>
      </c>
      <c r="M430" s="20" t="n"/>
      <c r="N430" s="16" t="n"/>
      <c r="O430" s="20" t="n"/>
      <c r="P430" s="16" t="n"/>
    </row>
    <row r="43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20" t="n"/>
      <c r="L431" s="21">
        <f>IF(K431&lt;&gt;"",K431,G431)</f>
        <v/>
      </c>
      <c r="M431" s="20" t="n"/>
      <c r="N431" s="17" t="n"/>
      <c r="O431" s="20" t="n"/>
      <c r="P431" s="17" t="n"/>
    </row>
    <row r="432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20" t="n"/>
      <c r="L432" s="21">
        <f>IF(K432&lt;&gt;"",K432,G432)</f>
        <v/>
      </c>
      <c r="M432" s="20" t="n"/>
      <c r="N432" s="16" t="n"/>
      <c r="O432" s="20" t="n"/>
      <c r="P432" s="16" t="n"/>
    </row>
    <row r="433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20" t="n"/>
      <c r="L433" s="21">
        <f>IF(K433&lt;&gt;"",K433,G433)</f>
        <v/>
      </c>
      <c r="M433" s="20" t="n"/>
      <c r="N433" s="17" t="n"/>
      <c r="O433" s="20" t="n"/>
      <c r="P433" s="17" t="n"/>
    </row>
    <row r="434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20" t="n"/>
      <c r="L434" s="21">
        <f>IF(K434&lt;&gt;"",K434,G434)</f>
        <v/>
      </c>
      <c r="M434" s="20" t="n"/>
      <c r="N434" s="16" t="n"/>
      <c r="O434" s="20" t="n"/>
      <c r="P434" s="16" t="n"/>
    </row>
    <row r="435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20" t="n"/>
      <c r="L435" s="21">
        <f>IF(K435&lt;&gt;"",K435,G435)</f>
        <v/>
      </c>
      <c r="M435" s="20" t="n"/>
      <c r="N435" s="17" t="n"/>
      <c r="O435" s="20" t="n"/>
      <c r="P435" s="17" t="n"/>
    </row>
    <row r="436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20" t="n"/>
      <c r="L436" s="21">
        <f>IF(K436&lt;&gt;"",K436,G436)</f>
        <v/>
      </c>
      <c r="M436" s="20" t="n"/>
      <c r="N436" s="16" t="n"/>
      <c r="O436" s="20" t="n"/>
      <c r="P436" s="16" t="n"/>
    </row>
    <row r="437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20" t="n"/>
      <c r="L437" s="21">
        <f>IF(K437&lt;&gt;"",K437,G437)</f>
        <v/>
      </c>
      <c r="M437" s="20" t="n"/>
      <c r="N437" s="17" t="n"/>
      <c r="O437" s="20" t="n"/>
      <c r="P437" s="17" t="n"/>
    </row>
    <row r="438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20" t="n"/>
      <c r="L438" s="21">
        <f>IF(K438&lt;&gt;"",K438,G438)</f>
        <v/>
      </c>
      <c r="M438" s="20" t="n"/>
      <c r="N438" s="16" t="n"/>
      <c r="O438" s="20" t="n"/>
      <c r="P438" s="16" t="n"/>
    </row>
    <row r="439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20" t="n"/>
      <c r="L439" s="21">
        <f>IF(K439&lt;&gt;"",K439,G439)</f>
        <v/>
      </c>
      <c r="M439" s="20" t="n"/>
      <c r="N439" s="17" t="n"/>
      <c r="O439" s="20" t="n"/>
      <c r="P439" s="17" t="n"/>
    </row>
    <row r="440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20" t="n"/>
      <c r="L440" s="21">
        <f>IF(K440&lt;&gt;"",K440,G440)</f>
        <v/>
      </c>
      <c r="M440" s="20" t="n"/>
      <c r="N440" s="16" t="n"/>
      <c r="O440" s="20" t="n"/>
      <c r="P440" s="16" t="n"/>
    </row>
    <row r="44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20" t="n"/>
      <c r="L441" s="21">
        <f>IF(K441&lt;&gt;"",K441,G441)</f>
        <v/>
      </c>
      <c r="M441" s="20" t="n"/>
      <c r="N441" s="17" t="n"/>
      <c r="O441" s="20" t="n"/>
      <c r="P441" s="17" t="n"/>
    </row>
    <row r="442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20" t="n"/>
      <c r="L442" s="21">
        <f>IF(K442&lt;&gt;"",K442,G442)</f>
        <v/>
      </c>
      <c r="M442" s="20" t="n"/>
      <c r="N442" s="16" t="n"/>
      <c r="O442" s="20" t="n"/>
      <c r="P442" s="16" t="n"/>
    </row>
    <row r="443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20" t="n"/>
      <c r="L443" s="21">
        <f>IF(K443&lt;&gt;"",K443,G443)</f>
        <v/>
      </c>
      <c r="M443" s="20" t="n"/>
      <c r="N443" s="17" t="n"/>
      <c r="O443" s="20" t="n"/>
      <c r="P443" s="17" t="n"/>
    </row>
    <row r="444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20" t="n"/>
      <c r="L444" s="21">
        <f>IF(K444&lt;&gt;"",K444,G444)</f>
        <v/>
      </c>
      <c r="M444" s="20" t="n"/>
      <c r="N444" s="16" t="n"/>
      <c r="O444" s="20" t="n"/>
      <c r="P444" s="16" t="n"/>
    </row>
    <row r="445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20" t="n"/>
      <c r="L445" s="21">
        <f>IF(K445&lt;&gt;"",K445,G445)</f>
        <v/>
      </c>
      <c r="M445" s="20" t="n"/>
      <c r="N445" s="17" t="n"/>
      <c r="O445" s="20" t="n"/>
      <c r="P445" s="17" t="n"/>
    </row>
    <row r="446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20" t="n"/>
      <c r="L446" s="21">
        <f>IF(K446&lt;&gt;"",K446,G446)</f>
        <v/>
      </c>
      <c r="M446" s="20" t="n"/>
      <c r="N446" s="16" t="n"/>
      <c r="O446" s="20" t="n"/>
      <c r="P446" s="16" t="n"/>
    </row>
    <row r="447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20" t="n"/>
      <c r="L447" s="21">
        <f>IF(K447&lt;&gt;"",K447,G447)</f>
        <v/>
      </c>
      <c r="M447" s="20" t="n"/>
      <c r="N447" s="17" t="n"/>
      <c r="O447" s="20" t="n"/>
      <c r="P447" s="17" t="n"/>
    </row>
    <row r="448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20" t="n"/>
      <c r="L448" s="21">
        <f>IF(K448&lt;&gt;"",K448,G448)</f>
        <v/>
      </c>
      <c r="M448" s="20" t="n"/>
      <c r="N448" s="16" t="n"/>
      <c r="O448" s="20" t="n"/>
      <c r="P448" s="16" t="n"/>
    </row>
    <row r="449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20" t="n"/>
      <c r="L449" s="21">
        <f>IF(K449&lt;&gt;"",K449,G449)</f>
        <v/>
      </c>
      <c r="M449" s="20" t="n"/>
      <c r="N449" s="17" t="n"/>
      <c r="O449" s="20" t="n"/>
      <c r="P449" s="17" t="n"/>
    </row>
    <row r="450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20" t="n"/>
      <c r="L450" s="21">
        <f>IF(K450&lt;&gt;"",K450,G450)</f>
        <v/>
      </c>
      <c r="M450" s="20" t="n"/>
      <c r="N450" s="16" t="n"/>
      <c r="O450" s="20" t="n"/>
      <c r="P450" s="16" t="n"/>
    </row>
    <row r="45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20" t="n"/>
      <c r="L451" s="21">
        <f>IF(K451&lt;&gt;"",K451,G451)</f>
        <v/>
      </c>
      <c r="M451" s="20" t="n"/>
      <c r="N451" s="17" t="n"/>
      <c r="O451" s="20" t="n"/>
      <c r="P451" s="17" t="n"/>
    </row>
    <row r="452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20" t="n"/>
      <c r="L452" s="21">
        <f>IF(K452&lt;&gt;"",K452,G452)</f>
        <v/>
      </c>
      <c r="M452" s="20" t="n"/>
      <c r="N452" s="16" t="n"/>
      <c r="O452" s="20" t="n"/>
      <c r="P452" s="16" t="n"/>
    </row>
    <row r="453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20" t="n"/>
      <c r="L453" s="21">
        <f>IF(K453&lt;&gt;"",K453,G453)</f>
        <v/>
      </c>
      <c r="M453" s="20" t="n"/>
      <c r="N453" s="17" t="n"/>
      <c r="O453" s="20" t="n"/>
      <c r="P453" s="17" t="n"/>
    </row>
    <row r="454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20" t="n"/>
      <c r="L454" s="21">
        <f>IF(K454&lt;&gt;"",K454,G454)</f>
        <v/>
      </c>
      <c r="M454" s="20" t="n"/>
      <c r="N454" s="16" t="n"/>
      <c r="O454" s="20" t="n"/>
      <c r="P454" s="16" t="n"/>
    </row>
    <row r="455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20" t="n"/>
      <c r="L455" s="21">
        <f>IF(K455&lt;&gt;"",K455,G455)</f>
        <v/>
      </c>
      <c r="M455" s="20" t="n"/>
      <c r="N455" s="17" t="n"/>
      <c r="O455" s="20" t="n"/>
      <c r="P455" s="17" t="n"/>
    </row>
    <row r="456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20" t="n"/>
      <c r="L456" s="21">
        <f>IF(K456&lt;&gt;"",K456,G456)</f>
        <v/>
      </c>
      <c r="M456" s="20" t="n"/>
      <c r="N456" s="16" t="n"/>
      <c r="O456" s="20" t="n"/>
      <c r="P456" s="16" t="n"/>
    </row>
    <row r="457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20" t="n"/>
      <c r="L457" s="21">
        <f>IF(K457&lt;&gt;"",K457,G457)</f>
        <v/>
      </c>
      <c r="M457" s="20" t="n"/>
      <c r="N457" s="17" t="n"/>
      <c r="O457" s="20" t="n"/>
      <c r="P457" s="17" t="n"/>
    </row>
    <row r="458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20" t="n"/>
      <c r="L458" s="21">
        <f>IF(K458&lt;&gt;"",K458,G458)</f>
        <v/>
      </c>
      <c r="M458" s="20" t="n"/>
      <c r="N458" s="16" t="n"/>
      <c r="O458" s="20" t="n"/>
      <c r="P458" s="16" t="n"/>
    </row>
    <row r="459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20" t="n"/>
      <c r="L459" s="21">
        <f>IF(K459&lt;&gt;"",K459,G459)</f>
        <v/>
      </c>
      <c r="M459" s="20" t="n"/>
      <c r="N459" s="17" t="n"/>
      <c r="O459" s="20" t="n"/>
      <c r="P459" s="17" t="n"/>
    </row>
    <row r="460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20" t="n"/>
      <c r="L460" s="21">
        <f>IF(K460&lt;&gt;"",K460,G460)</f>
        <v/>
      </c>
      <c r="M460" s="20" t="n"/>
      <c r="N460" s="16" t="n"/>
      <c r="O460" s="20" t="n"/>
      <c r="P460" s="16" t="n"/>
    </row>
    <row r="46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20" t="n"/>
      <c r="L461" s="21">
        <f>IF(K461&lt;&gt;"",K461,G461)</f>
        <v/>
      </c>
      <c r="M461" s="20" t="n"/>
      <c r="N461" s="17" t="n"/>
      <c r="O461" s="20" t="n"/>
      <c r="P461" s="17" t="n"/>
    </row>
    <row r="462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20" t="n"/>
      <c r="L462" s="21">
        <f>IF(K462&lt;&gt;"",K462,G462)</f>
        <v/>
      </c>
      <c r="M462" s="20" t="n"/>
      <c r="N462" s="16" t="n"/>
      <c r="O462" s="20" t="n"/>
      <c r="P462" s="16" t="n"/>
    </row>
    <row r="463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20" t="n"/>
      <c r="L463" s="21">
        <f>IF(K463&lt;&gt;"",K463,G463)</f>
        <v/>
      </c>
      <c r="M463" s="20" t="n"/>
      <c r="N463" s="17" t="n"/>
      <c r="O463" s="20" t="n"/>
      <c r="P463" s="17" t="n"/>
    </row>
    <row r="464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20" t="n"/>
      <c r="L464" s="21">
        <f>IF(K464&lt;&gt;"",K464,G464)</f>
        <v/>
      </c>
      <c r="M464" s="20" t="n"/>
      <c r="N464" s="16" t="n"/>
      <c r="O464" s="20" t="n"/>
      <c r="P464" s="16" t="n"/>
    </row>
    <row r="465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20" t="n"/>
      <c r="L465" s="21">
        <f>IF(K465&lt;&gt;"",K465,G465)</f>
        <v/>
      </c>
      <c r="M465" s="20" t="n"/>
      <c r="N465" s="17" t="n"/>
      <c r="O465" s="20" t="n"/>
      <c r="P465" s="17" t="n"/>
    </row>
    <row r="466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20" t="n"/>
      <c r="L466" s="21">
        <f>IF(K466&lt;&gt;"",K466,G466)</f>
        <v/>
      </c>
      <c r="M466" s="20" t="n"/>
      <c r="N466" s="16" t="n"/>
      <c r="O466" s="20" t="n"/>
      <c r="P466" s="16" t="n"/>
    </row>
    <row r="467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20" t="n"/>
      <c r="L467" s="21">
        <f>IF(K467&lt;&gt;"",K467,G467)</f>
        <v/>
      </c>
      <c r="M467" s="20" t="n"/>
      <c r="N467" s="17" t="n"/>
      <c r="O467" s="20" t="n"/>
      <c r="P467" s="17" t="n"/>
    </row>
    <row r="468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20" t="n"/>
      <c r="L468" s="21">
        <f>IF(K468&lt;&gt;"",K468,G468)</f>
        <v/>
      </c>
      <c r="M468" s="20" t="n"/>
      <c r="N468" s="16" t="n"/>
      <c r="O468" s="20" t="n"/>
      <c r="P468" s="16" t="n"/>
    </row>
    <row r="469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20" t="n"/>
      <c r="L469" s="21">
        <f>IF(K469&lt;&gt;"",K469,G469)</f>
        <v/>
      </c>
      <c r="M469" s="20" t="n"/>
      <c r="N469" s="17" t="n"/>
      <c r="O469" s="20" t="n"/>
      <c r="P469" s="17" t="n"/>
    </row>
    <row r="470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20" t="n"/>
      <c r="L470" s="21">
        <f>IF(K470&lt;&gt;"",K470,G470)</f>
        <v/>
      </c>
      <c r="M470" s="20" t="n"/>
      <c r="N470" s="16" t="n"/>
      <c r="O470" s="20" t="n"/>
      <c r="P470" s="16" t="n"/>
    </row>
    <row r="47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20" t="n"/>
      <c r="L471" s="21">
        <f>IF(K471&lt;&gt;"",K471,G471)</f>
        <v/>
      </c>
      <c r="M471" s="20" t="n"/>
      <c r="N471" s="17" t="n"/>
      <c r="O471" s="20" t="n"/>
      <c r="P471" s="17" t="n"/>
    </row>
    <row r="472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20" t="n"/>
      <c r="L472" s="21">
        <f>IF(K472&lt;&gt;"",K472,G472)</f>
        <v/>
      </c>
      <c r="M472" s="20" t="n"/>
      <c r="N472" s="16" t="n"/>
      <c r="O472" s="20" t="n"/>
      <c r="P472" s="16" t="n"/>
    </row>
    <row r="473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20" t="n"/>
      <c r="L473" s="21">
        <f>IF(K473&lt;&gt;"",K473,G473)</f>
        <v/>
      </c>
      <c r="M473" s="20" t="n"/>
      <c r="N473" s="17" t="n"/>
      <c r="O473" s="20" t="n"/>
      <c r="P473" s="17" t="n"/>
    </row>
    <row r="474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20" t="n"/>
      <c r="L474" s="21">
        <f>IF(K474&lt;&gt;"",K474,G474)</f>
        <v/>
      </c>
      <c r="M474" s="20" t="n"/>
      <c r="N474" s="16" t="n"/>
      <c r="O474" s="20" t="n"/>
      <c r="P474" s="16" t="n"/>
    </row>
    <row r="475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20" t="n"/>
      <c r="L475" s="21">
        <f>IF(K475&lt;&gt;"",K475,G475)</f>
        <v/>
      </c>
      <c r="M475" s="20" t="n"/>
      <c r="N475" s="17" t="n"/>
      <c r="O475" s="20" t="n"/>
      <c r="P475" s="17" t="n"/>
    </row>
    <row r="476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20" t="n"/>
      <c r="L476" s="21">
        <f>IF(K476&lt;&gt;"",K476,G476)</f>
        <v/>
      </c>
      <c r="M476" s="20" t="n"/>
      <c r="N476" s="16" t="n"/>
      <c r="O476" s="20" t="n"/>
      <c r="P476" s="16" t="n"/>
    </row>
    <row r="477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20" t="n"/>
      <c r="L477" s="21">
        <f>IF(K477&lt;&gt;"",K477,G477)</f>
        <v/>
      </c>
      <c r="M477" s="20" t="n"/>
      <c r="N477" s="17" t="n"/>
      <c r="O477" s="20" t="n"/>
      <c r="P477" s="17" t="n"/>
    </row>
    <row r="478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20" t="n"/>
      <c r="L478" s="21">
        <f>IF(K478&lt;&gt;"",K478,G478)</f>
        <v/>
      </c>
      <c r="M478" s="20" t="n"/>
      <c r="N478" s="16" t="n"/>
      <c r="O478" s="20" t="n"/>
      <c r="P478" s="16" t="n"/>
    </row>
    <row r="479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20" t="n"/>
      <c r="L479" s="21">
        <f>IF(K479&lt;&gt;"",K479,G479)</f>
        <v/>
      </c>
      <c r="M479" s="20" t="n"/>
      <c r="N479" s="17" t="n"/>
      <c r="O479" s="20" t="n"/>
      <c r="P479" s="17" t="n"/>
    </row>
    <row r="480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20" t="n"/>
      <c r="L480" s="21">
        <f>IF(K480&lt;&gt;"",K480,G480)</f>
        <v/>
      </c>
      <c r="M480" s="20" t="n"/>
      <c r="N480" s="16" t="n"/>
      <c r="O480" s="20" t="n"/>
      <c r="P480" s="16" t="n"/>
    </row>
    <row r="48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20" t="n"/>
      <c r="L481" s="21">
        <f>IF(K481&lt;&gt;"",K481,G481)</f>
        <v/>
      </c>
      <c r="M481" s="20" t="n"/>
      <c r="N481" s="17" t="n"/>
      <c r="O481" s="20" t="n"/>
      <c r="P481" s="17" t="n"/>
    </row>
    <row r="482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20" t="n"/>
      <c r="L482" s="21">
        <f>IF(K482&lt;&gt;"",K482,G482)</f>
        <v/>
      </c>
      <c r="M482" s="20" t="n"/>
      <c r="N482" s="16" t="n"/>
      <c r="O482" s="20" t="n"/>
      <c r="P482" s="16" t="n"/>
    </row>
    <row r="483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20" t="n"/>
      <c r="L483" s="21">
        <f>IF(K483&lt;&gt;"",K483,G483)</f>
        <v/>
      </c>
      <c r="M483" s="20" t="n"/>
      <c r="N483" s="17" t="n"/>
      <c r="O483" s="20" t="n"/>
      <c r="P483" s="17" t="n"/>
    </row>
    <row r="484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20" t="n"/>
      <c r="L484" s="21">
        <f>IF(K484&lt;&gt;"",K484,G484)</f>
        <v/>
      </c>
      <c r="M484" s="20" t="n"/>
      <c r="N484" s="16" t="n"/>
      <c r="O484" s="20" t="n"/>
      <c r="P484" s="16" t="n"/>
    </row>
    <row r="485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20" t="n"/>
      <c r="L485" s="21">
        <f>IF(K485&lt;&gt;"",K485,G485)</f>
        <v/>
      </c>
      <c r="M485" s="20" t="n"/>
      <c r="N485" s="17" t="n"/>
      <c r="O485" s="20" t="n"/>
      <c r="P485" s="17" t="n"/>
    </row>
    <row r="486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20" t="n"/>
      <c r="L486" s="21">
        <f>IF(K486&lt;&gt;"",K486,G486)</f>
        <v/>
      </c>
      <c r="M486" s="20" t="n"/>
      <c r="N486" s="16" t="n"/>
      <c r="O486" s="20" t="n"/>
      <c r="P486" s="16" t="n"/>
    </row>
    <row r="487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20" t="n"/>
      <c r="L487" s="21">
        <f>IF(K487&lt;&gt;"",K487,G487)</f>
        <v/>
      </c>
      <c r="M487" s="20" t="n"/>
      <c r="N487" s="17" t="n"/>
      <c r="O487" s="20" t="n"/>
      <c r="P487" s="17" t="n"/>
    </row>
    <row r="488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20" t="n"/>
      <c r="L488" s="21">
        <f>IF(K488&lt;&gt;"",K488,G488)</f>
        <v/>
      </c>
      <c r="M488" s="20" t="n"/>
      <c r="N488" s="16" t="n"/>
      <c r="O488" s="20" t="n"/>
      <c r="P488" s="16" t="n"/>
    </row>
    <row r="489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20" t="n"/>
      <c r="L489" s="21">
        <f>IF(K489&lt;&gt;"",K489,G489)</f>
        <v/>
      </c>
      <c r="M489" s="20" t="n"/>
      <c r="N489" s="17" t="n"/>
      <c r="O489" s="20" t="n"/>
      <c r="P489" s="17" t="n"/>
    </row>
    <row r="490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20" t="n"/>
      <c r="L490" s="21">
        <f>IF(K490&lt;&gt;"",K490,G490)</f>
        <v/>
      </c>
      <c r="M490" s="20" t="n"/>
      <c r="N490" s="16" t="n"/>
      <c r="O490" s="20" t="n"/>
      <c r="P490" s="16" t="n"/>
    </row>
    <row r="49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20" t="n"/>
      <c r="L491" s="21">
        <f>IF(K491&lt;&gt;"",K491,G491)</f>
        <v/>
      </c>
      <c r="M491" s="20" t="n"/>
      <c r="N491" s="17" t="n"/>
      <c r="O491" s="20" t="n"/>
      <c r="P491" s="17" t="n"/>
    </row>
    <row r="492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20" t="n"/>
      <c r="L492" s="21">
        <f>IF(K492&lt;&gt;"",K492,G492)</f>
        <v/>
      </c>
      <c r="M492" s="20" t="n"/>
      <c r="N492" s="16" t="n"/>
      <c r="O492" s="20" t="n"/>
      <c r="P492" s="16" t="n"/>
    </row>
    <row r="493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20" t="n"/>
      <c r="L493" s="21">
        <f>IF(K493&lt;&gt;"",K493,G493)</f>
        <v/>
      </c>
      <c r="M493" s="20" t="n"/>
      <c r="N493" s="17" t="n"/>
      <c r="O493" s="20" t="n"/>
      <c r="P493" s="17" t="n"/>
    </row>
    <row r="494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20" t="n"/>
      <c r="L494" s="21">
        <f>IF(K494&lt;&gt;"",K494,G494)</f>
        <v/>
      </c>
      <c r="M494" s="20" t="n"/>
      <c r="N494" s="16" t="n"/>
      <c r="O494" s="20" t="n"/>
      <c r="P494" s="16" t="n"/>
    </row>
    <row r="495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20" t="n"/>
      <c r="L495" s="21">
        <f>IF(K495&lt;&gt;"",K495,G495)</f>
        <v/>
      </c>
      <c r="M495" s="20" t="n"/>
      <c r="N495" s="17" t="n"/>
      <c r="O495" s="20" t="n"/>
      <c r="P495" s="17" t="n"/>
    </row>
    <row r="496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20" t="n"/>
      <c r="L496" s="21">
        <f>IF(K496&lt;&gt;"",K496,G496)</f>
        <v/>
      </c>
      <c r="M496" s="20" t="n"/>
      <c r="N496" s="16" t="n"/>
      <c r="O496" s="20" t="n"/>
      <c r="P496" s="16" t="n"/>
    </row>
    <row r="497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20" t="n"/>
      <c r="L497" s="21">
        <f>IF(K497&lt;&gt;"",K497,G497)</f>
        <v/>
      </c>
      <c r="M497" s="20" t="n"/>
      <c r="N497" s="17" t="n"/>
      <c r="O497" s="20" t="n"/>
      <c r="P497" s="17" t="n"/>
    </row>
    <row r="498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20" t="n"/>
      <c r="L498" s="21">
        <f>IF(K498&lt;&gt;"",K498,G498)</f>
        <v/>
      </c>
      <c r="M498" s="20" t="n"/>
      <c r="N498" s="16" t="n"/>
      <c r="O498" s="20" t="n"/>
      <c r="P498" s="16" t="n"/>
    </row>
    <row r="499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20" t="n"/>
      <c r="L499" s="21">
        <f>IF(K499&lt;&gt;"",K499,G499)</f>
        <v/>
      </c>
      <c r="M499" s="20" t="n"/>
      <c r="N499" s="17" t="n"/>
      <c r="O499" s="20" t="n"/>
      <c r="P499" s="17" t="n"/>
    </row>
    <row r="500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20" t="n"/>
      <c r="L500" s="21">
        <f>IF(K500&lt;&gt;"",K500,G500)</f>
        <v/>
      </c>
      <c r="M500" s="20" t="n"/>
      <c r="N500" s="16" t="n"/>
      <c r="O500" s="20" t="n"/>
      <c r="P500" s="16" t="n"/>
    </row>
    <row r="50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20" t="n"/>
      <c r="L501" s="21">
        <f>IF(K501&lt;&gt;"",K501,G501)</f>
        <v/>
      </c>
      <c r="M501" s="20" t="n"/>
      <c r="N501" s="17" t="n"/>
      <c r="O501" s="20" t="n"/>
      <c r="P501" s="17" t="n"/>
    </row>
  </sheetData>
  <conditionalFormatting sqref="G2:G500">
    <cfRule type="expression" priority="1" dxfId="2">
      <formula>$G2="D"</formula>
    </cfRule>
    <cfRule type="expression" priority="2" dxfId="3">
      <formula>$G2="R"</formula>
    </cfRule>
    <cfRule type="expression" priority="3" dxfId="4">
      <formula>OR($G2="I",$G2="O")</formula>
    </cfRule>
  </conditionalFormatting>
  <conditionalFormatting sqref="K2:K500">
    <cfRule type="expression" priority="4" dxfId="2">
      <formula>$K2="D"</formula>
    </cfRule>
    <cfRule type="expression" priority="5" dxfId="3">
      <formula>$K2="R"</formula>
    </cfRule>
    <cfRule type="expression" priority="6" dxfId="4">
      <formula>OR($K2="I",$K2="O")</formula>
    </cfRule>
  </conditionalFormatting>
  <conditionalFormatting sqref="L2:L500">
    <cfRule type="expression" priority="7" dxfId="2">
      <formula>$L2="D"</formula>
    </cfRule>
    <cfRule type="expression" priority="8" dxfId="3">
      <formula>$L2="R"</formula>
    </cfRule>
    <cfRule type="expression" priority="9" dxfId="4">
      <formula>OR($L2="I",$L2="O")</formula>
    </cfRule>
  </conditionalFormatting>
  <conditionalFormatting sqref="H2:H500">
    <cfRule type="expression" priority="10" dxfId="5">
      <formula>$H2="HIGH"</formula>
    </cfRule>
    <cfRule type="expression" priority="11" dxfId="6">
      <formula>$H2="MEDIUM"</formula>
    </cfRule>
    <cfRule type="expression" priority="12" dxfId="7">
      <formula>$H2="LOW"</formula>
    </cfRule>
    <cfRule type="expression" priority="13" dxfId="0">
      <formula>$H2="UNKNOWN"</formula>
    </cfRule>
  </conditionalFormatting>
  <conditionalFormatting sqref="M2:M500">
    <cfRule type="expression" priority="14" dxfId="8">
      <formula>$M2="Yes"</formula>
    </cfRule>
  </conditionalFormatting>
  <dataValidations count="4">
    <dataValidation sqref="G2:G500 K2:K500" showDropDown="0" showInputMessage="0" showErrorMessage="0" allowBlank="1" error="Please select D, R, I, or O" promptTitle="Party Code" prompt="D=Democrat, R=Republican, I=Independent, O=Other" type="list">
      <formula1>"D,R,I,O"</formula1>
    </dataValidation>
    <dataValidation sqref="M2:M500" showDropDown="0" showInputMessage="0" showErrorMessage="0" allowBlank="1" error="Enter 'Yes' to lock" promptTitle="Lock Status" prompt="Set to 'Yes' to prevent re-detection" type="list">
      <formula1>"Yes"</formula1>
    </dataValidation>
    <dataValidation sqref="F2:F500" showDropDown="0" showInputMessage="0" showErrorMessage="0" allowBlank="1" type="list">
      <formula1>"Yes,No"</formula1>
    </dataValidation>
    <dataValidation sqref="H2:H500" showDropDown="0" showInputMessage="0" showErrorMessage="0" allowBlank="1" prompt="Detection confidence level" type="list">
      <formula1>"HIGH,MEDIUM,LOW,UNKNOWN"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30" customWidth="1" min="3" max="3"/>
    <col width="12" customWidth="1" min="4" max="4"/>
    <col width="15" customWidth="1" min="5" max="5"/>
    <col width="15" customWidth="1" min="6" max="6"/>
    <col width="16" customWidth="1" min="7" max="7"/>
    <col width="15" customWidth="1" min="8" max="8"/>
    <col width="18" customWidth="1" min="9" max="9"/>
    <col width="15" customWidth="1" min="10" max="10"/>
    <col width="22" customWidth="1" min="11" max="11"/>
  </cols>
  <sheetData>
    <row r="1">
      <c r="A1" s="15" t="inlineStr">
        <is>
          <t>district_id</t>
        </is>
      </c>
      <c r="B1" s="15" t="inlineStr">
        <is>
          <t>district_name</t>
        </is>
      </c>
      <c r="C1" s="15" t="inlineStr">
        <is>
          <t>incumbent_name</t>
        </is>
      </c>
      <c r="D1" s="15" t="inlineStr">
        <is>
          <t>incumbent_party</t>
        </is>
      </c>
      <c r="E1" s="19" t="inlineStr">
        <is>
          <t>dem_candidates</t>
        </is>
      </c>
      <c r="F1" s="19" t="inlineStr">
        <is>
          <t>rep_candidates</t>
        </is>
      </c>
      <c r="G1" s="19" t="inlineStr">
        <is>
          <t>other_candidates</t>
        </is>
      </c>
      <c r="H1" s="15" t="inlineStr">
        <is>
          <t>race_status</t>
        </is>
      </c>
      <c r="I1" s="15" t="inlineStr">
        <is>
          <t>recruitment_priority</t>
        </is>
      </c>
      <c r="J1" s="19" t="inlineStr">
        <is>
          <t>needs_research</t>
        </is>
      </c>
      <c r="K1" s="15" t="inlineStr">
        <is>
          <t>last_computed</t>
        </is>
      </c>
    </row>
    <row r="2">
      <c r="A2" s="16" t="inlineStr">
        <is>
          <t>SC-House-001</t>
        </is>
      </c>
      <c r="B2" s="16" t="inlineStr">
        <is>
          <t>SC House District 1</t>
        </is>
      </c>
      <c r="C2" s="16" t="inlineStr">
        <is>
          <t>William R. "Bill" Whitmire</t>
        </is>
      </c>
      <c r="D2" s="16" t="inlineStr">
        <is>
          <t>Republican</t>
        </is>
      </c>
      <c r="E2" s="21">
        <f>COUNTIFS(Candidates!$C:$C,$A2,Candidates!$L:$L,"D")</f>
        <v/>
      </c>
      <c r="F2" s="21">
        <f>COUNTIFS(Candidates!$C:$C,$A2,Candidates!$L:$L,"R")</f>
        <v/>
      </c>
      <c r="G2" s="21">
        <f>COUNTIFS(Candidates!$C:$C,$A2,Candidates!$L:$L,"I")+COUNTIFS(Candidates!$C:$C,$A2,Candidates!$L:$L,"O")</f>
        <v/>
      </c>
      <c r="H2" s="16" t="n"/>
      <c r="I2" s="16" t="n"/>
      <c r="J2" s="21">
        <f>COUNTIFS(Candidates!$C:$C,$A2,Candidates!$H:$H,"UNKNOWN")+COUNTIFS(Candidates!$C:$C,$A2,Candidates!$H:$H,"LOW")</f>
        <v/>
      </c>
      <c r="K2" s="16" t="n"/>
    </row>
    <row r="3">
      <c r="A3" s="17" t="inlineStr">
        <is>
          <t>SC-House-002</t>
        </is>
      </c>
      <c r="B3" s="17" t="inlineStr">
        <is>
          <t>SC House District 2</t>
        </is>
      </c>
      <c r="C3" s="17" t="inlineStr">
        <is>
          <t>Adam L. Duncan</t>
        </is>
      </c>
      <c r="D3" s="17" t="inlineStr">
        <is>
          <t>Republican</t>
        </is>
      </c>
      <c r="E3" s="21">
        <f>COUNTIFS(Candidates!$C:$C,$A3,Candidates!$L:$L,"D")</f>
        <v/>
      </c>
      <c r="F3" s="21">
        <f>COUNTIFS(Candidates!$C:$C,$A3,Candidates!$L:$L,"R")</f>
        <v/>
      </c>
      <c r="G3" s="21">
        <f>COUNTIFS(Candidates!$C:$C,$A3,Candidates!$L:$L,"I")+COUNTIFS(Candidates!$C:$C,$A3,Candidates!$L:$L,"O")</f>
        <v/>
      </c>
      <c r="H3" s="17" t="n"/>
      <c r="I3" s="17" t="n"/>
      <c r="J3" s="21">
        <f>COUNTIFS(Candidates!$C:$C,$A3,Candidates!$H:$H,"UNKNOWN")+COUNTIFS(Candidates!$C:$C,$A3,Candidates!$H:$H,"LOW")</f>
        <v/>
      </c>
      <c r="K3" s="17" t="n"/>
    </row>
    <row r="4">
      <c r="A4" s="16" t="inlineStr">
        <is>
          <t>SC-House-003</t>
        </is>
      </c>
      <c r="B4" s="16" t="inlineStr">
        <is>
          <t>SC House District 3</t>
        </is>
      </c>
      <c r="C4" s="16" t="inlineStr">
        <is>
          <t>Phillip Bowers</t>
        </is>
      </c>
      <c r="D4" s="16" t="inlineStr">
        <is>
          <t>Republican</t>
        </is>
      </c>
      <c r="E4" s="21">
        <f>COUNTIFS(Candidates!$C:$C,$A4,Candidates!$L:$L,"D")</f>
        <v/>
      </c>
      <c r="F4" s="21">
        <f>COUNTIFS(Candidates!$C:$C,$A4,Candidates!$L:$L,"R")</f>
        <v/>
      </c>
      <c r="G4" s="21">
        <f>COUNTIFS(Candidates!$C:$C,$A4,Candidates!$L:$L,"I")+COUNTIFS(Candidates!$C:$C,$A4,Candidates!$L:$L,"O")</f>
        <v/>
      </c>
      <c r="H4" s="16" t="n"/>
      <c r="I4" s="16" t="n"/>
      <c r="J4" s="21">
        <f>COUNTIFS(Candidates!$C:$C,$A4,Candidates!$H:$H,"UNKNOWN")+COUNTIFS(Candidates!$C:$C,$A4,Candidates!$H:$H,"LOW")</f>
        <v/>
      </c>
      <c r="K4" s="16" t="n"/>
    </row>
    <row r="5">
      <c r="A5" s="17" t="inlineStr">
        <is>
          <t>SC-House-004</t>
        </is>
      </c>
      <c r="B5" s="17" t="inlineStr">
        <is>
          <t>SC House District 4</t>
        </is>
      </c>
      <c r="C5" s="17" t="inlineStr">
        <is>
          <t>David R. Hiott</t>
        </is>
      </c>
      <c r="D5" s="17" t="inlineStr">
        <is>
          <t>Republican</t>
        </is>
      </c>
      <c r="E5" s="21">
        <f>COUNTIFS(Candidates!$C:$C,$A5,Candidates!$L:$L,"D")</f>
        <v/>
      </c>
      <c r="F5" s="21">
        <f>COUNTIFS(Candidates!$C:$C,$A5,Candidates!$L:$L,"R")</f>
        <v/>
      </c>
      <c r="G5" s="21">
        <f>COUNTIFS(Candidates!$C:$C,$A5,Candidates!$L:$L,"I")+COUNTIFS(Candidates!$C:$C,$A5,Candidates!$L:$L,"O")</f>
        <v/>
      </c>
      <c r="H5" s="17" t="n"/>
      <c r="I5" s="17" t="n"/>
      <c r="J5" s="21">
        <f>COUNTIFS(Candidates!$C:$C,$A5,Candidates!$H:$H,"UNKNOWN")+COUNTIFS(Candidates!$C:$C,$A5,Candidates!$H:$H,"LOW")</f>
        <v/>
      </c>
      <c r="K5" s="17" t="n"/>
    </row>
    <row r="6">
      <c r="A6" s="16" t="inlineStr">
        <is>
          <t>SC-House-005</t>
        </is>
      </c>
      <c r="B6" s="16" t="inlineStr">
        <is>
          <t>SC House District 5</t>
        </is>
      </c>
      <c r="C6" s="16" t="inlineStr">
        <is>
          <t>Neal A. Collins</t>
        </is>
      </c>
      <c r="D6" s="16" t="inlineStr">
        <is>
          <t>Republican</t>
        </is>
      </c>
      <c r="E6" s="21">
        <f>COUNTIFS(Candidates!$C:$C,$A6,Candidates!$L:$L,"D")</f>
        <v/>
      </c>
      <c r="F6" s="21">
        <f>COUNTIFS(Candidates!$C:$C,$A6,Candidates!$L:$L,"R")</f>
        <v/>
      </c>
      <c r="G6" s="21">
        <f>COUNTIFS(Candidates!$C:$C,$A6,Candidates!$L:$L,"I")+COUNTIFS(Candidates!$C:$C,$A6,Candidates!$L:$L,"O")</f>
        <v/>
      </c>
      <c r="H6" s="16" t="n"/>
      <c r="I6" s="16" t="n"/>
      <c r="J6" s="21">
        <f>COUNTIFS(Candidates!$C:$C,$A6,Candidates!$H:$H,"UNKNOWN")+COUNTIFS(Candidates!$C:$C,$A6,Candidates!$H:$H,"LOW")</f>
        <v/>
      </c>
      <c r="K6" s="16" t="n"/>
    </row>
    <row r="7">
      <c r="A7" s="17" t="inlineStr">
        <is>
          <t>SC-House-006</t>
        </is>
      </c>
      <c r="B7" s="17" t="inlineStr">
        <is>
          <t>SC House District 6</t>
        </is>
      </c>
      <c r="C7" s="17" t="inlineStr">
        <is>
          <t>April Cromer</t>
        </is>
      </c>
      <c r="D7" s="17" t="inlineStr">
        <is>
          <t>Republican</t>
        </is>
      </c>
      <c r="E7" s="21">
        <f>COUNTIFS(Candidates!$C:$C,$A7,Candidates!$L:$L,"D")</f>
        <v/>
      </c>
      <c r="F7" s="21">
        <f>COUNTIFS(Candidates!$C:$C,$A7,Candidates!$L:$L,"R")</f>
        <v/>
      </c>
      <c r="G7" s="21">
        <f>COUNTIFS(Candidates!$C:$C,$A7,Candidates!$L:$L,"I")+COUNTIFS(Candidates!$C:$C,$A7,Candidates!$L:$L,"O")</f>
        <v/>
      </c>
      <c r="H7" s="17" t="n"/>
      <c r="I7" s="17" t="n"/>
      <c r="J7" s="21">
        <f>COUNTIFS(Candidates!$C:$C,$A7,Candidates!$H:$H,"UNKNOWN")+COUNTIFS(Candidates!$C:$C,$A7,Candidates!$H:$H,"LOW")</f>
        <v/>
      </c>
      <c r="K7" s="17" t="n"/>
    </row>
    <row r="8">
      <c r="A8" s="16" t="inlineStr">
        <is>
          <t>SC-House-007</t>
        </is>
      </c>
      <c r="B8" s="16" t="inlineStr">
        <is>
          <t>SC House District 7</t>
        </is>
      </c>
      <c r="C8" s="16" t="inlineStr">
        <is>
          <t>Thomas Lee Gilreath</t>
        </is>
      </c>
      <c r="D8" s="16" t="inlineStr">
        <is>
          <t>Republican</t>
        </is>
      </c>
      <c r="E8" s="21">
        <f>COUNTIFS(Candidates!$C:$C,$A8,Candidates!$L:$L,"D")</f>
        <v/>
      </c>
      <c r="F8" s="21">
        <f>COUNTIFS(Candidates!$C:$C,$A8,Candidates!$L:$L,"R")</f>
        <v/>
      </c>
      <c r="G8" s="21">
        <f>COUNTIFS(Candidates!$C:$C,$A8,Candidates!$L:$L,"I")+COUNTIFS(Candidates!$C:$C,$A8,Candidates!$L:$L,"O")</f>
        <v/>
      </c>
      <c r="H8" s="16" t="n"/>
      <c r="I8" s="16" t="n"/>
      <c r="J8" s="21">
        <f>COUNTIFS(Candidates!$C:$C,$A8,Candidates!$H:$H,"UNKNOWN")+COUNTIFS(Candidates!$C:$C,$A8,Candidates!$H:$H,"LOW")</f>
        <v/>
      </c>
      <c r="K8" s="16" t="n"/>
    </row>
    <row r="9">
      <c r="A9" s="17" t="inlineStr">
        <is>
          <t>SC-House-008</t>
        </is>
      </c>
      <c r="B9" s="17" t="inlineStr">
        <is>
          <t>SC House District 8</t>
        </is>
      </c>
      <c r="C9" s="17" t="inlineStr">
        <is>
          <t>Donald G. "Don" Chapman</t>
        </is>
      </c>
      <c r="D9" s="17" t="inlineStr">
        <is>
          <t>Republican</t>
        </is>
      </c>
      <c r="E9" s="21">
        <f>COUNTIFS(Candidates!$C:$C,$A9,Candidates!$L:$L,"D")</f>
        <v/>
      </c>
      <c r="F9" s="21">
        <f>COUNTIFS(Candidates!$C:$C,$A9,Candidates!$L:$L,"R")</f>
        <v/>
      </c>
      <c r="G9" s="21">
        <f>COUNTIFS(Candidates!$C:$C,$A9,Candidates!$L:$L,"I")+COUNTIFS(Candidates!$C:$C,$A9,Candidates!$L:$L,"O")</f>
        <v/>
      </c>
      <c r="H9" s="17" t="n"/>
      <c r="I9" s="17" t="n"/>
      <c r="J9" s="21">
        <f>COUNTIFS(Candidates!$C:$C,$A9,Candidates!$H:$H,"UNKNOWN")+COUNTIFS(Candidates!$C:$C,$A9,Candidates!$H:$H,"LOW")</f>
        <v/>
      </c>
      <c r="K9" s="17" t="n"/>
    </row>
    <row r="10">
      <c r="A10" s="16" t="inlineStr">
        <is>
          <t>SC-House-009</t>
        </is>
      </c>
      <c r="B10" s="16" t="inlineStr">
        <is>
          <t>SC House District 9</t>
        </is>
      </c>
      <c r="C10" s="16" t="inlineStr">
        <is>
          <t>Richard Blake Sanders</t>
        </is>
      </c>
      <c r="D10" s="16" t="inlineStr">
        <is>
          <t>Republican</t>
        </is>
      </c>
      <c r="E10" s="21">
        <f>COUNTIFS(Candidates!$C:$C,$A10,Candidates!$L:$L,"D")</f>
        <v/>
      </c>
      <c r="F10" s="21">
        <f>COUNTIFS(Candidates!$C:$C,$A10,Candidates!$L:$L,"R")</f>
        <v/>
      </c>
      <c r="G10" s="21">
        <f>COUNTIFS(Candidates!$C:$C,$A10,Candidates!$L:$L,"I")+COUNTIFS(Candidates!$C:$C,$A10,Candidates!$L:$L,"O")</f>
        <v/>
      </c>
      <c r="H10" s="16" t="n"/>
      <c r="I10" s="16" t="n"/>
      <c r="J10" s="21">
        <f>COUNTIFS(Candidates!$C:$C,$A10,Candidates!$H:$H,"UNKNOWN")+COUNTIFS(Candidates!$C:$C,$A10,Candidates!$H:$H,"LOW")</f>
        <v/>
      </c>
      <c r="K10" s="16" t="n"/>
    </row>
    <row r="11">
      <c r="A11" s="17" t="inlineStr">
        <is>
          <t>SC-House-010</t>
        </is>
      </c>
      <c r="B11" s="17" t="inlineStr">
        <is>
          <t>SC House District 10</t>
        </is>
      </c>
      <c r="C11" s="17" t="inlineStr">
        <is>
          <t>Thomas Beach</t>
        </is>
      </c>
      <c r="D11" s="17" t="inlineStr">
        <is>
          <t>Republican</t>
        </is>
      </c>
      <c r="E11" s="21">
        <f>COUNTIFS(Candidates!$C:$C,$A11,Candidates!$L:$L,"D")</f>
        <v/>
      </c>
      <c r="F11" s="21">
        <f>COUNTIFS(Candidates!$C:$C,$A11,Candidates!$L:$L,"R")</f>
        <v/>
      </c>
      <c r="G11" s="21">
        <f>COUNTIFS(Candidates!$C:$C,$A11,Candidates!$L:$L,"I")+COUNTIFS(Candidates!$C:$C,$A11,Candidates!$L:$L,"O")</f>
        <v/>
      </c>
      <c r="H11" s="17" t="n"/>
      <c r="I11" s="17" t="n"/>
      <c r="J11" s="21">
        <f>COUNTIFS(Candidates!$C:$C,$A11,Candidates!$H:$H,"UNKNOWN")+COUNTIFS(Candidates!$C:$C,$A11,Candidates!$H:$H,"LOW")</f>
        <v/>
      </c>
      <c r="K11" s="17" t="n"/>
    </row>
    <row r="12">
      <c r="A12" s="16" t="inlineStr">
        <is>
          <t>SC-House-011</t>
        </is>
      </c>
      <c r="B12" s="16" t="inlineStr">
        <is>
          <t>SC House District 11</t>
        </is>
      </c>
      <c r="C12" s="16" t="inlineStr">
        <is>
          <t>Craig A. Gagnon</t>
        </is>
      </c>
      <c r="D12" s="16" t="inlineStr">
        <is>
          <t>Republican</t>
        </is>
      </c>
      <c r="E12" s="21">
        <f>COUNTIFS(Candidates!$C:$C,$A12,Candidates!$L:$L,"D")</f>
        <v/>
      </c>
      <c r="F12" s="21">
        <f>COUNTIFS(Candidates!$C:$C,$A12,Candidates!$L:$L,"R")</f>
        <v/>
      </c>
      <c r="G12" s="21">
        <f>COUNTIFS(Candidates!$C:$C,$A12,Candidates!$L:$L,"I")+COUNTIFS(Candidates!$C:$C,$A12,Candidates!$L:$L,"O")</f>
        <v/>
      </c>
      <c r="H12" s="16" t="n"/>
      <c r="I12" s="16" t="n"/>
      <c r="J12" s="21">
        <f>COUNTIFS(Candidates!$C:$C,$A12,Candidates!$H:$H,"UNKNOWN")+COUNTIFS(Candidates!$C:$C,$A12,Candidates!$H:$H,"LOW")</f>
        <v/>
      </c>
      <c r="K12" s="16" t="n"/>
    </row>
    <row r="13">
      <c r="A13" s="17" t="inlineStr">
        <is>
          <t>SC-House-012</t>
        </is>
      </c>
      <c r="B13" s="17" t="inlineStr">
        <is>
          <t>SC House District 12</t>
        </is>
      </c>
      <c r="C13" s="17" t="inlineStr">
        <is>
          <t>Daniel Gibson</t>
        </is>
      </c>
      <c r="D13" s="17" t="inlineStr">
        <is>
          <t>Republican</t>
        </is>
      </c>
      <c r="E13" s="21">
        <f>COUNTIFS(Candidates!$C:$C,$A13,Candidates!$L:$L,"D")</f>
        <v/>
      </c>
      <c r="F13" s="21">
        <f>COUNTIFS(Candidates!$C:$C,$A13,Candidates!$L:$L,"R")</f>
        <v/>
      </c>
      <c r="G13" s="21">
        <f>COUNTIFS(Candidates!$C:$C,$A13,Candidates!$L:$L,"I")+COUNTIFS(Candidates!$C:$C,$A13,Candidates!$L:$L,"O")</f>
        <v/>
      </c>
      <c r="H13" s="17" t="n"/>
      <c r="I13" s="17" t="n"/>
      <c r="J13" s="21">
        <f>COUNTIFS(Candidates!$C:$C,$A13,Candidates!$H:$H,"UNKNOWN")+COUNTIFS(Candidates!$C:$C,$A13,Candidates!$H:$H,"LOW")</f>
        <v/>
      </c>
      <c r="K13" s="17" t="n"/>
    </row>
    <row r="14">
      <c r="A14" s="16" t="inlineStr">
        <is>
          <t>SC-House-013</t>
        </is>
      </c>
      <c r="B14" s="16" t="inlineStr">
        <is>
          <t>SC House District 13</t>
        </is>
      </c>
      <c r="C14" s="16" t="inlineStr">
        <is>
          <t>John R. McCravy III</t>
        </is>
      </c>
      <c r="D14" s="16" t="inlineStr">
        <is>
          <t>Republican</t>
        </is>
      </c>
      <c r="E14" s="21">
        <f>COUNTIFS(Candidates!$C:$C,$A14,Candidates!$L:$L,"D")</f>
        <v/>
      </c>
      <c r="F14" s="21">
        <f>COUNTIFS(Candidates!$C:$C,$A14,Candidates!$L:$L,"R")</f>
        <v/>
      </c>
      <c r="G14" s="21">
        <f>COUNTIFS(Candidates!$C:$C,$A14,Candidates!$L:$L,"I")+COUNTIFS(Candidates!$C:$C,$A14,Candidates!$L:$L,"O")</f>
        <v/>
      </c>
      <c r="H14" s="16" t="n"/>
      <c r="I14" s="16" t="n"/>
      <c r="J14" s="21">
        <f>COUNTIFS(Candidates!$C:$C,$A14,Candidates!$H:$H,"UNKNOWN")+COUNTIFS(Candidates!$C:$C,$A14,Candidates!$H:$H,"LOW")</f>
        <v/>
      </c>
      <c r="K14" s="16" t="n"/>
    </row>
    <row r="15">
      <c r="A15" s="17" t="inlineStr">
        <is>
          <t>SC-House-014</t>
        </is>
      </c>
      <c r="B15" s="17" t="inlineStr">
        <is>
          <t>SC House District 14</t>
        </is>
      </c>
      <c r="C15" s="17" t="inlineStr">
        <is>
          <t>Luke S. Rankin</t>
        </is>
      </c>
      <c r="D15" s="17" t="inlineStr">
        <is>
          <t>Republican</t>
        </is>
      </c>
      <c r="E15" s="21">
        <f>COUNTIFS(Candidates!$C:$C,$A15,Candidates!$L:$L,"D")</f>
        <v/>
      </c>
      <c r="F15" s="21">
        <f>COUNTIFS(Candidates!$C:$C,$A15,Candidates!$L:$L,"R")</f>
        <v/>
      </c>
      <c r="G15" s="21">
        <f>COUNTIFS(Candidates!$C:$C,$A15,Candidates!$L:$L,"I")+COUNTIFS(Candidates!$C:$C,$A15,Candidates!$L:$L,"O")</f>
        <v/>
      </c>
      <c r="H15" s="17" t="n"/>
      <c r="I15" s="17" t="n"/>
      <c r="J15" s="21">
        <f>COUNTIFS(Candidates!$C:$C,$A15,Candidates!$H:$H,"UNKNOWN")+COUNTIFS(Candidates!$C:$C,$A15,Candidates!$H:$H,"LOW")</f>
        <v/>
      </c>
      <c r="K15" s="17" t="n"/>
    </row>
    <row r="16">
      <c r="A16" s="16" t="inlineStr">
        <is>
          <t>SC-House-015</t>
        </is>
      </c>
      <c r="B16" s="16" t="inlineStr">
        <is>
          <t>SC House District 15</t>
        </is>
      </c>
      <c r="C16" s="16" t="inlineStr">
        <is>
          <t>JA Moore</t>
        </is>
      </c>
      <c r="D16" s="16" t="inlineStr">
        <is>
          <t>Democratic</t>
        </is>
      </c>
      <c r="E16" s="21">
        <f>COUNTIFS(Candidates!$C:$C,$A16,Candidates!$L:$L,"D")</f>
        <v/>
      </c>
      <c r="F16" s="21">
        <f>COUNTIFS(Candidates!$C:$C,$A16,Candidates!$L:$L,"R")</f>
        <v/>
      </c>
      <c r="G16" s="21">
        <f>COUNTIFS(Candidates!$C:$C,$A16,Candidates!$L:$L,"I")+COUNTIFS(Candidates!$C:$C,$A16,Candidates!$L:$L,"O")</f>
        <v/>
      </c>
      <c r="H16" s="16" t="n"/>
      <c r="I16" s="16" t="n"/>
      <c r="J16" s="21">
        <f>COUNTIFS(Candidates!$C:$C,$A16,Candidates!$H:$H,"UNKNOWN")+COUNTIFS(Candidates!$C:$C,$A16,Candidates!$H:$H,"LOW")</f>
        <v/>
      </c>
      <c r="K16" s="16" t="n"/>
    </row>
    <row r="17">
      <c r="A17" s="17" t="inlineStr">
        <is>
          <t>SC-House-016</t>
        </is>
      </c>
      <c r="B17" s="17" t="inlineStr">
        <is>
          <t>SC House District 16</t>
        </is>
      </c>
      <c r="C17" s="17" t="inlineStr">
        <is>
          <t>Mark N. Willis</t>
        </is>
      </c>
      <c r="D17" s="17" t="inlineStr">
        <is>
          <t>Republican</t>
        </is>
      </c>
      <c r="E17" s="21">
        <f>COUNTIFS(Candidates!$C:$C,$A17,Candidates!$L:$L,"D")</f>
        <v/>
      </c>
      <c r="F17" s="21">
        <f>COUNTIFS(Candidates!$C:$C,$A17,Candidates!$L:$L,"R")</f>
        <v/>
      </c>
      <c r="G17" s="21">
        <f>COUNTIFS(Candidates!$C:$C,$A17,Candidates!$L:$L,"I")+COUNTIFS(Candidates!$C:$C,$A17,Candidates!$L:$L,"O")</f>
        <v/>
      </c>
      <c r="H17" s="17" t="n"/>
      <c r="I17" s="17" t="n"/>
      <c r="J17" s="21">
        <f>COUNTIFS(Candidates!$C:$C,$A17,Candidates!$H:$H,"UNKNOWN")+COUNTIFS(Candidates!$C:$C,$A17,Candidates!$H:$H,"LOW")</f>
        <v/>
      </c>
      <c r="K17" s="17" t="n"/>
    </row>
    <row r="18">
      <c r="A18" s="16" t="inlineStr">
        <is>
          <t>SC-House-017</t>
        </is>
      </c>
      <c r="B18" s="16" t="inlineStr">
        <is>
          <t>SC House District 17</t>
        </is>
      </c>
      <c r="C18" s="16" t="inlineStr">
        <is>
          <t>James Mikell "Mike" Burns</t>
        </is>
      </c>
      <c r="D18" s="16" t="inlineStr">
        <is>
          <t>Republican</t>
        </is>
      </c>
      <c r="E18" s="21">
        <f>COUNTIFS(Candidates!$C:$C,$A18,Candidates!$L:$L,"D")</f>
        <v/>
      </c>
      <c r="F18" s="21">
        <f>COUNTIFS(Candidates!$C:$C,$A18,Candidates!$L:$L,"R")</f>
        <v/>
      </c>
      <c r="G18" s="21">
        <f>COUNTIFS(Candidates!$C:$C,$A18,Candidates!$L:$L,"I")+COUNTIFS(Candidates!$C:$C,$A18,Candidates!$L:$L,"O")</f>
        <v/>
      </c>
      <c r="H18" s="16" t="n"/>
      <c r="I18" s="16" t="n"/>
      <c r="J18" s="21">
        <f>COUNTIFS(Candidates!$C:$C,$A18,Candidates!$H:$H,"UNKNOWN")+COUNTIFS(Candidates!$C:$C,$A18,Candidates!$H:$H,"LOW")</f>
        <v/>
      </c>
      <c r="K18" s="16" t="n"/>
    </row>
    <row r="19">
      <c r="A19" s="17" t="inlineStr">
        <is>
          <t>SC-House-018</t>
        </is>
      </c>
      <c r="B19" s="17" t="inlineStr">
        <is>
          <t>SC House District 18</t>
        </is>
      </c>
      <c r="C19" s="17" t="inlineStr">
        <is>
          <t>T. Alan Morgan, Jr.</t>
        </is>
      </c>
      <c r="D19" s="17" t="inlineStr">
        <is>
          <t>Republican</t>
        </is>
      </c>
      <c r="E19" s="21">
        <f>COUNTIFS(Candidates!$C:$C,$A19,Candidates!$L:$L,"D")</f>
        <v/>
      </c>
      <c r="F19" s="21">
        <f>COUNTIFS(Candidates!$C:$C,$A19,Candidates!$L:$L,"R")</f>
        <v/>
      </c>
      <c r="G19" s="21">
        <f>COUNTIFS(Candidates!$C:$C,$A19,Candidates!$L:$L,"I")+COUNTIFS(Candidates!$C:$C,$A19,Candidates!$L:$L,"O")</f>
        <v/>
      </c>
      <c r="H19" s="17" t="n"/>
      <c r="I19" s="17" t="n"/>
      <c r="J19" s="21">
        <f>COUNTIFS(Candidates!$C:$C,$A19,Candidates!$H:$H,"UNKNOWN")+COUNTIFS(Candidates!$C:$C,$A19,Candidates!$H:$H,"LOW")</f>
        <v/>
      </c>
      <c r="K19" s="17" t="n"/>
    </row>
    <row r="20">
      <c r="A20" s="16" t="inlineStr">
        <is>
          <t>SC-House-019</t>
        </is>
      </c>
      <c r="B20" s="16" t="inlineStr">
        <is>
          <t>SC House District 19</t>
        </is>
      </c>
      <c r="C20" s="16" t="inlineStr">
        <is>
          <t>Patrick B. Haddon</t>
        </is>
      </c>
      <c r="D20" s="16" t="inlineStr">
        <is>
          <t>Republican</t>
        </is>
      </c>
      <c r="E20" s="21">
        <f>COUNTIFS(Candidates!$C:$C,$A20,Candidates!$L:$L,"D")</f>
        <v/>
      </c>
      <c r="F20" s="21">
        <f>COUNTIFS(Candidates!$C:$C,$A20,Candidates!$L:$L,"R")</f>
        <v/>
      </c>
      <c r="G20" s="21">
        <f>COUNTIFS(Candidates!$C:$C,$A20,Candidates!$L:$L,"I")+COUNTIFS(Candidates!$C:$C,$A20,Candidates!$L:$L,"O")</f>
        <v/>
      </c>
      <c r="H20" s="16" t="n"/>
      <c r="I20" s="16" t="n"/>
      <c r="J20" s="21">
        <f>COUNTIFS(Candidates!$C:$C,$A20,Candidates!$H:$H,"UNKNOWN")+COUNTIFS(Candidates!$C:$C,$A20,Candidates!$H:$H,"LOW")</f>
        <v/>
      </c>
      <c r="K20" s="16" t="n"/>
    </row>
    <row r="21">
      <c r="A21" s="17" t="inlineStr">
        <is>
          <t>SC-House-020</t>
        </is>
      </c>
      <c r="B21" s="17" t="inlineStr">
        <is>
          <t>SC House District 20</t>
        </is>
      </c>
      <c r="C21" s="17" t="inlineStr">
        <is>
          <t>Stephen Frank</t>
        </is>
      </c>
      <c r="D21" s="17" t="inlineStr">
        <is>
          <t>Republican</t>
        </is>
      </c>
      <c r="E21" s="21">
        <f>COUNTIFS(Candidates!$C:$C,$A21,Candidates!$L:$L,"D")</f>
        <v/>
      </c>
      <c r="F21" s="21">
        <f>COUNTIFS(Candidates!$C:$C,$A21,Candidates!$L:$L,"R")</f>
        <v/>
      </c>
      <c r="G21" s="21">
        <f>COUNTIFS(Candidates!$C:$C,$A21,Candidates!$L:$L,"I")+COUNTIFS(Candidates!$C:$C,$A21,Candidates!$L:$L,"O")</f>
        <v/>
      </c>
      <c r="H21" s="17" t="n"/>
      <c r="I21" s="17" t="n"/>
      <c r="J21" s="21">
        <f>COUNTIFS(Candidates!$C:$C,$A21,Candidates!$H:$H,"UNKNOWN")+COUNTIFS(Candidates!$C:$C,$A21,Candidates!$H:$H,"LOW")</f>
        <v/>
      </c>
      <c r="K21" s="17" t="n"/>
    </row>
    <row r="22">
      <c r="A22" s="16" t="inlineStr">
        <is>
          <t>SC-House-021</t>
        </is>
      </c>
      <c r="B22" s="16" t="inlineStr">
        <is>
          <t>SC House District 21</t>
        </is>
      </c>
      <c r="C22" s="16" t="inlineStr">
        <is>
          <t>Dianne Mitchell</t>
        </is>
      </c>
      <c r="D22" s="16" t="inlineStr">
        <is>
          <t>Republican</t>
        </is>
      </c>
      <c r="E22" s="21">
        <f>COUNTIFS(Candidates!$C:$C,$A22,Candidates!$L:$L,"D")</f>
        <v/>
      </c>
      <c r="F22" s="21">
        <f>COUNTIFS(Candidates!$C:$C,$A22,Candidates!$L:$L,"R")</f>
        <v/>
      </c>
      <c r="G22" s="21">
        <f>COUNTIFS(Candidates!$C:$C,$A22,Candidates!$L:$L,"I")+COUNTIFS(Candidates!$C:$C,$A22,Candidates!$L:$L,"O")</f>
        <v/>
      </c>
      <c r="H22" s="16" t="n"/>
      <c r="I22" s="16" t="n"/>
      <c r="J22" s="21">
        <f>COUNTIFS(Candidates!$C:$C,$A22,Candidates!$H:$H,"UNKNOWN")+COUNTIFS(Candidates!$C:$C,$A22,Candidates!$H:$H,"LOW")</f>
        <v/>
      </c>
      <c r="K22" s="16" t="n"/>
    </row>
    <row r="23">
      <c r="A23" s="17" t="inlineStr">
        <is>
          <t>SC-House-022</t>
        </is>
      </c>
      <c r="B23" s="17" t="inlineStr">
        <is>
          <t>SC House District 22</t>
        </is>
      </c>
      <c r="C23" s="17" t="inlineStr">
        <is>
          <t>Paul B. Wickensimer</t>
        </is>
      </c>
      <c r="D23" s="17" t="inlineStr">
        <is>
          <t>Republican</t>
        </is>
      </c>
      <c r="E23" s="21">
        <f>COUNTIFS(Candidates!$C:$C,$A23,Candidates!$L:$L,"D")</f>
        <v/>
      </c>
      <c r="F23" s="21">
        <f>COUNTIFS(Candidates!$C:$C,$A23,Candidates!$L:$L,"R")</f>
        <v/>
      </c>
      <c r="G23" s="21">
        <f>COUNTIFS(Candidates!$C:$C,$A23,Candidates!$L:$L,"I")+COUNTIFS(Candidates!$C:$C,$A23,Candidates!$L:$L,"O")</f>
        <v/>
      </c>
      <c r="H23" s="17" t="n"/>
      <c r="I23" s="17" t="n"/>
      <c r="J23" s="21">
        <f>COUNTIFS(Candidates!$C:$C,$A23,Candidates!$H:$H,"UNKNOWN")+COUNTIFS(Candidates!$C:$C,$A23,Candidates!$H:$H,"LOW")</f>
        <v/>
      </c>
      <c r="K23" s="17" t="n"/>
    </row>
    <row r="24">
      <c r="A24" s="16" t="inlineStr">
        <is>
          <t>SC-House-023</t>
        </is>
      </c>
      <c r="B24" s="16" t="inlineStr">
        <is>
          <t>SC House District 23</t>
        </is>
      </c>
      <c r="C24" s="16" t="inlineStr">
        <is>
          <t>Chandra E. Dillard</t>
        </is>
      </c>
      <c r="D24" s="16" t="inlineStr">
        <is>
          <t>Democratic</t>
        </is>
      </c>
      <c r="E24" s="21">
        <f>COUNTIFS(Candidates!$C:$C,$A24,Candidates!$L:$L,"D")</f>
        <v/>
      </c>
      <c r="F24" s="21">
        <f>COUNTIFS(Candidates!$C:$C,$A24,Candidates!$L:$L,"R")</f>
        <v/>
      </c>
      <c r="G24" s="21">
        <f>COUNTIFS(Candidates!$C:$C,$A24,Candidates!$L:$L,"I")+COUNTIFS(Candidates!$C:$C,$A24,Candidates!$L:$L,"O")</f>
        <v/>
      </c>
      <c r="H24" s="16" t="n"/>
      <c r="I24" s="16" t="n"/>
      <c r="J24" s="21">
        <f>COUNTIFS(Candidates!$C:$C,$A24,Candidates!$H:$H,"UNKNOWN")+COUNTIFS(Candidates!$C:$C,$A24,Candidates!$H:$H,"LOW")</f>
        <v/>
      </c>
      <c r="K24" s="16" t="n"/>
    </row>
    <row r="25">
      <c r="A25" s="17" t="inlineStr">
        <is>
          <t>SC-House-024</t>
        </is>
      </c>
      <c r="B25" s="17" t="inlineStr">
        <is>
          <t>SC House District 24</t>
        </is>
      </c>
      <c r="C25" s="17" t="inlineStr">
        <is>
          <t>Bruce W. Bannister</t>
        </is>
      </c>
      <c r="D25" s="17" t="inlineStr">
        <is>
          <t>Republican</t>
        </is>
      </c>
      <c r="E25" s="21">
        <f>COUNTIFS(Candidates!$C:$C,$A25,Candidates!$L:$L,"D")</f>
        <v/>
      </c>
      <c r="F25" s="21">
        <f>COUNTIFS(Candidates!$C:$C,$A25,Candidates!$L:$L,"R")</f>
        <v/>
      </c>
      <c r="G25" s="21">
        <f>COUNTIFS(Candidates!$C:$C,$A25,Candidates!$L:$L,"I")+COUNTIFS(Candidates!$C:$C,$A25,Candidates!$L:$L,"O")</f>
        <v/>
      </c>
      <c r="H25" s="17" t="n"/>
      <c r="I25" s="17" t="n"/>
      <c r="J25" s="21">
        <f>COUNTIFS(Candidates!$C:$C,$A25,Candidates!$H:$H,"UNKNOWN")+COUNTIFS(Candidates!$C:$C,$A25,Candidates!$H:$H,"LOW")</f>
        <v/>
      </c>
      <c r="K25" s="17" t="n"/>
    </row>
    <row r="26">
      <c r="A26" s="16" t="inlineStr">
        <is>
          <t>SC-House-025</t>
        </is>
      </c>
      <c r="B26" s="16" t="inlineStr">
        <is>
          <t>SC House District 25</t>
        </is>
      </c>
      <c r="C26" s="16" t="inlineStr">
        <is>
          <t>Wendell K. Jones</t>
        </is>
      </c>
      <c r="D26" s="16" t="inlineStr">
        <is>
          <t>Democratic</t>
        </is>
      </c>
      <c r="E26" s="21">
        <f>COUNTIFS(Candidates!$C:$C,$A26,Candidates!$L:$L,"D")</f>
        <v/>
      </c>
      <c r="F26" s="21">
        <f>COUNTIFS(Candidates!$C:$C,$A26,Candidates!$L:$L,"R")</f>
        <v/>
      </c>
      <c r="G26" s="21">
        <f>COUNTIFS(Candidates!$C:$C,$A26,Candidates!$L:$L,"I")+COUNTIFS(Candidates!$C:$C,$A26,Candidates!$L:$L,"O")</f>
        <v/>
      </c>
      <c r="H26" s="16" t="n"/>
      <c r="I26" s="16" t="n"/>
      <c r="J26" s="21">
        <f>COUNTIFS(Candidates!$C:$C,$A26,Candidates!$H:$H,"UNKNOWN")+COUNTIFS(Candidates!$C:$C,$A26,Candidates!$H:$H,"LOW")</f>
        <v/>
      </c>
      <c r="K26" s="16" t="n"/>
    </row>
    <row r="27">
      <c r="A27" s="17" t="inlineStr">
        <is>
          <t>SC-House-026</t>
        </is>
      </c>
      <c r="B27" s="17" t="inlineStr">
        <is>
          <t>SC House District 26</t>
        </is>
      </c>
      <c r="C27" s="17" t="inlineStr">
        <is>
          <t>David Martin</t>
        </is>
      </c>
      <c r="D27" s="17" t="inlineStr">
        <is>
          <t>Republican</t>
        </is>
      </c>
      <c r="E27" s="21">
        <f>COUNTIFS(Candidates!$C:$C,$A27,Candidates!$L:$L,"D")</f>
        <v/>
      </c>
      <c r="F27" s="21">
        <f>COUNTIFS(Candidates!$C:$C,$A27,Candidates!$L:$L,"R")</f>
        <v/>
      </c>
      <c r="G27" s="21">
        <f>COUNTIFS(Candidates!$C:$C,$A27,Candidates!$L:$L,"I")+COUNTIFS(Candidates!$C:$C,$A27,Candidates!$L:$L,"O")</f>
        <v/>
      </c>
      <c r="H27" s="17" t="n"/>
      <c r="I27" s="17" t="n"/>
      <c r="J27" s="21">
        <f>COUNTIFS(Candidates!$C:$C,$A27,Candidates!$H:$H,"UNKNOWN")+COUNTIFS(Candidates!$C:$C,$A27,Candidates!$H:$H,"LOW")</f>
        <v/>
      </c>
      <c r="K27" s="17" t="n"/>
    </row>
    <row r="28">
      <c r="A28" s="16" t="inlineStr">
        <is>
          <t>SC-House-027</t>
        </is>
      </c>
      <c r="B28" s="16" t="inlineStr">
        <is>
          <t>SC House District 27</t>
        </is>
      </c>
      <c r="C28" s="16" t="inlineStr">
        <is>
          <t>David Vaughan</t>
        </is>
      </c>
      <c r="D28" s="16" t="inlineStr">
        <is>
          <t>Republican</t>
        </is>
      </c>
      <c r="E28" s="21">
        <f>COUNTIFS(Candidates!$C:$C,$A28,Candidates!$L:$L,"D")</f>
        <v/>
      </c>
      <c r="F28" s="21">
        <f>COUNTIFS(Candidates!$C:$C,$A28,Candidates!$L:$L,"R")</f>
        <v/>
      </c>
      <c r="G28" s="21">
        <f>COUNTIFS(Candidates!$C:$C,$A28,Candidates!$L:$L,"I")+COUNTIFS(Candidates!$C:$C,$A28,Candidates!$L:$L,"O")</f>
        <v/>
      </c>
      <c r="H28" s="16" t="n"/>
      <c r="I28" s="16" t="n"/>
      <c r="J28" s="21">
        <f>COUNTIFS(Candidates!$C:$C,$A28,Candidates!$H:$H,"UNKNOWN")+COUNTIFS(Candidates!$C:$C,$A28,Candidates!$H:$H,"LOW")</f>
        <v/>
      </c>
      <c r="K28" s="16" t="n"/>
    </row>
    <row r="29">
      <c r="A29" s="17" t="inlineStr">
        <is>
          <t>SC-House-028</t>
        </is>
      </c>
      <c r="B29" s="17" t="inlineStr">
        <is>
          <t>SC House District 28</t>
        </is>
      </c>
      <c r="C29" s="17" t="inlineStr">
        <is>
          <t>William C. "Chris" Huff</t>
        </is>
      </c>
      <c r="D29" s="17" t="inlineStr">
        <is>
          <t>Republican</t>
        </is>
      </c>
      <c r="E29" s="21">
        <f>COUNTIFS(Candidates!$C:$C,$A29,Candidates!$L:$L,"D")</f>
        <v/>
      </c>
      <c r="F29" s="21">
        <f>COUNTIFS(Candidates!$C:$C,$A29,Candidates!$L:$L,"R")</f>
        <v/>
      </c>
      <c r="G29" s="21">
        <f>COUNTIFS(Candidates!$C:$C,$A29,Candidates!$L:$L,"I")+COUNTIFS(Candidates!$C:$C,$A29,Candidates!$L:$L,"O")</f>
        <v/>
      </c>
      <c r="H29" s="17" t="n"/>
      <c r="I29" s="17" t="n"/>
      <c r="J29" s="21">
        <f>COUNTIFS(Candidates!$C:$C,$A29,Candidates!$H:$H,"UNKNOWN")+COUNTIFS(Candidates!$C:$C,$A29,Candidates!$H:$H,"LOW")</f>
        <v/>
      </c>
      <c r="K29" s="17" t="n"/>
    </row>
    <row r="30">
      <c r="A30" s="16" t="inlineStr">
        <is>
          <t>SC-House-029</t>
        </is>
      </c>
      <c r="B30" s="16" t="inlineStr">
        <is>
          <t>SC House District 29</t>
        </is>
      </c>
      <c r="C30" s="16" t="inlineStr">
        <is>
          <t>Dennis C. Moss</t>
        </is>
      </c>
      <c r="D30" s="16" t="inlineStr">
        <is>
          <t>Republican</t>
        </is>
      </c>
      <c r="E30" s="21">
        <f>COUNTIFS(Candidates!$C:$C,$A30,Candidates!$L:$L,"D")</f>
        <v/>
      </c>
      <c r="F30" s="21">
        <f>COUNTIFS(Candidates!$C:$C,$A30,Candidates!$L:$L,"R")</f>
        <v/>
      </c>
      <c r="G30" s="21">
        <f>COUNTIFS(Candidates!$C:$C,$A30,Candidates!$L:$L,"I")+COUNTIFS(Candidates!$C:$C,$A30,Candidates!$L:$L,"O")</f>
        <v/>
      </c>
      <c r="H30" s="16" t="n"/>
      <c r="I30" s="16" t="n"/>
      <c r="J30" s="21">
        <f>COUNTIFS(Candidates!$C:$C,$A30,Candidates!$H:$H,"UNKNOWN")+COUNTIFS(Candidates!$C:$C,$A30,Candidates!$H:$H,"LOW")</f>
        <v/>
      </c>
      <c r="K30" s="16" t="n"/>
    </row>
    <row r="31">
      <c r="A31" s="17" t="inlineStr">
        <is>
          <t>SC-House-030</t>
        </is>
      </c>
      <c r="B31" s="17" t="inlineStr">
        <is>
          <t>SC House District 30</t>
        </is>
      </c>
      <c r="C31" s="17" t="inlineStr">
        <is>
          <t>M. Brian Lawson</t>
        </is>
      </c>
      <c r="D31" s="17" t="inlineStr">
        <is>
          <t>Republican</t>
        </is>
      </c>
      <c r="E31" s="21">
        <f>COUNTIFS(Candidates!$C:$C,$A31,Candidates!$L:$L,"D")</f>
        <v/>
      </c>
      <c r="F31" s="21">
        <f>COUNTIFS(Candidates!$C:$C,$A31,Candidates!$L:$L,"R")</f>
        <v/>
      </c>
      <c r="G31" s="21">
        <f>COUNTIFS(Candidates!$C:$C,$A31,Candidates!$L:$L,"I")+COUNTIFS(Candidates!$C:$C,$A31,Candidates!$L:$L,"O")</f>
        <v/>
      </c>
      <c r="H31" s="17" t="n"/>
      <c r="I31" s="17" t="n"/>
      <c r="J31" s="21">
        <f>COUNTIFS(Candidates!$C:$C,$A31,Candidates!$H:$H,"UNKNOWN")+COUNTIFS(Candidates!$C:$C,$A31,Candidates!$H:$H,"LOW")</f>
        <v/>
      </c>
      <c r="K31" s="17" t="n"/>
    </row>
    <row r="32">
      <c r="A32" s="16" t="inlineStr">
        <is>
          <t>SC-House-031</t>
        </is>
      </c>
      <c r="B32" s="16" t="inlineStr">
        <is>
          <t>SC House District 31</t>
        </is>
      </c>
      <c r="C32" s="16" t="inlineStr">
        <is>
          <t>Rosalyn D. Henderson-Myers, Ph.D.</t>
        </is>
      </c>
      <c r="D32" s="16" t="inlineStr">
        <is>
          <t>Democratic</t>
        </is>
      </c>
      <c r="E32" s="21">
        <f>COUNTIFS(Candidates!$C:$C,$A32,Candidates!$L:$L,"D")</f>
        <v/>
      </c>
      <c r="F32" s="21">
        <f>COUNTIFS(Candidates!$C:$C,$A32,Candidates!$L:$L,"R")</f>
        <v/>
      </c>
      <c r="G32" s="21">
        <f>COUNTIFS(Candidates!$C:$C,$A32,Candidates!$L:$L,"I")+COUNTIFS(Candidates!$C:$C,$A32,Candidates!$L:$L,"O")</f>
        <v/>
      </c>
      <c r="H32" s="16" t="n"/>
      <c r="I32" s="16" t="n"/>
      <c r="J32" s="21">
        <f>COUNTIFS(Candidates!$C:$C,$A32,Candidates!$H:$H,"UNKNOWN")+COUNTIFS(Candidates!$C:$C,$A32,Candidates!$H:$H,"LOW")</f>
        <v/>
      </c>
      <c r="K32" s="16" t="n"/>
    </row>
    <row r="33">
      <c r="A33" s="17" t="inlineStr">
        <is>
          <t>SC-House-032</t>
        </is>
      </c>
      <c r="B33" s="17" t="inlineStr">
        <is>
          <t>SC House District 32</t>
        </is>
      </c>
      <c r="C33" s="17" t="inlineStr">
        <is>
          <t>W. Scott Montgomery IV</t>
        </is>
      </c>
      <c r="D33" s="17" t="inlineStr">
        <is>
          <t>Republican</t>
        </is>
      </c>
      <c r="E33" s="21">
        <f>COUNTIFS(Candidates!$C:$C,$A33,Candidates!$L:$L,"D")</f>
        <v/>
      </c>
      <c r="F33" s="21">
        <f>COUNTIFS(Candidates!$C:$C,$A33,Candidates!$L:$L,"R")</f>
        <v/>
      </c>
      <c r="G33" s="21">
        <f>COUNTIFS(Candidates!$C:$C,$A33,Candidates!$L:$L,"I")+COUNTIFS(Candidates!$C:$C,$A33,Candidates!$L:$L,"O")</f>
        <v/>
      </c>
      <c r="H33" s="17" t="n"/>
      <c r="I33" s="17" t="n"/>
      <c r="J33" s="21">
        <f>COUNTIFS(Candidates!$C:$C,$A33,Candidates!$H:$H,"UNKNOWN")+COUNTIFS(Candidates!$C:$C,$A33,Candidates!$H:$H,"LOW")</f>
        <v/>
      </c>
      <c r="K33" s="17" t="n"/>
    </row>
    <row r="34">
      <c r="A34" s="16" t="inlineStr">
        <is>
          <t>SC-House-033</t>
        </is>
      </c>
      <c r="B34" s="16" t="inlineStr">
        <is>
          <t>SC House District 33</t>
        </is>
      </c>
      <c r="C34" s="16" t="inlineStr">
        <is>
          <t>Travis A. Moore</t>
        </is>
      </c>
      <c r="D34" s="16" t="inlineStr">
        <is>
          <t>Republican</t>
        </is>
      </c>
      <c r="E34" s="21">
        <f>COUNTIFS(Candidates!$C:$C,$A34,Candidates!$L:$L,"D")</f>
        <v/>
      </c>
      <c r="F34" s="21">
        <f>COUNTIFS(Candidates!$C:$C,$A34,Candidates!$L:$L,"R")</f>
        <v/>
      </c>
      <c r="G34" s="21">
        <f>COUNTIFS(Candidates!$C:$C,$A34,Candidates!$L:$L,"I")+COUNTIFS(Candidates!$C:$C,$A34,Candidates!$L:$L,"O")</f>
        <v/>
      </c>
      <c r="H34" s="16" t="n"/>
      <c r="I34" s="16" t="n"/>
      <c r="J34" s="21">
        <f>COUNTIFS(Candidates!$C:$C,$A34,Candidates!$H:$H,"UNKNOWN")+COUNTIFS(Candidates!$C:$C,$A34,Candidates!$H:$H,"LOW")</f>
        <v/>
      </c>
      <c r="K34" s="16" t="n"/>
    </row>
    <row r="35">
      <c r="A35" s="17" t="inlineStr">
        <is>
          <t>SC-House-034</t>
        </is>
      </c>
      <c r="B35" s="17" t="inlineStr">
        <is>
          <t>SC House District 34</t>
        </is>
      </c>
      <c r="C35" s="17" t="inlineStr">
        <is>
          <t>Sarita L. Edgerton</t>
        </is>
      </c>
      <c r="D35" s="17" t="inlineStr">
        <is>
          <t>Republican</t>
        </is>
      </c>
      <c r="E35" s="21">
        <f>COUNTIFS(Candidates!$C:$C,$A35,Candidates!$L:$L,"D")</f>
        <v/>
      </c>
      <c r="F35" s="21">
        <f>COUNTIFS(Candidates!$C:$C,$A35,Candidates!$L:$L,"R")</f>
        <v/>
      </c>
      <c r="G35" s="21">
        <f>COUNTIFS(Candidates!$C:$C,$A35,Candidates!$L:$L,"I")+COUNTIFS(Candidates!$C:$C,$A35,Candidates!$L:$L,"O")</f>
        <v/>
      </c>
      <c r="H35" s="17" t="n"/>
      <c r="I35" s="17" t="n"/>
      <c r="J35" s="21">
        <f>COUNTIFS(Candidates!$C:$C,$A35,Candidates!$H:$H,"UNKNOWN")+COUNTIFS(Candidates!$C:$C,$A35,Candidates!$H:$H,"LOW")</f>
        <v/>
      </c>
      <c r="K35" s="17" t="n"/>
    </row>
    <row r="36">
      <c r="A36" s="16" t="inlineStr">
        <is>
          <t>SC-House-035</t>
        </is>
      </c>
      <c r="B36" s="16" t="inlineStr">
        <is>
          <t>SC House District 35</t>
        </is>
      </c>
      <c r="C36" s="16" t="inlineStr">
        <is>
          <t>William M. "Bill" Chumley</t>
        </is>
      </c>
      <c r="D36" s="16" t="inlineStr">
        <is>
          <t>Republican</t>
        </is>
      </c>
      <c r="E36" s="21">
        <f>COUNTIFS(Candidates!$C:$C,$A36,Candidates!$L:$L,"D")</f>
        <v/>
      </c>
      <c r="F36" s="21">
        <f>COUNTIFS(Candidates!$C:$C,$A36,Candidates!$L:$L,"R")</f>
        <v/>
      </c>
      <c r="G36" s="21">
        <f>COUNTIFS(Candidates!$C:$C,$A36,Candidates!$L:$L,"I")+COUNTIFS(Candidates!$C:$C,$A36,Candidates!$L:$L,"O")</f>
        <v/>
      </c>
      <c r="H36" s="16" t="n"/>
      <c r="I36" s="16" t="n"/>
      <c r="J36" s="21">
        <f>COUNTIFS(Candidates!$C:$C,$A36,Candidates!$H:$H,"UNKNOWN")+COUNTIFS(Candidates!$C:$C,$A36,Candidates!$H:$H,"LOW")</f>
        <v/>
      </c>
      <c r="K36" s="16" t="n"/>
    </row>
    <row r="37">
      <c r="A37" s="17" t="inlineStr">
        <is>
          <t>SC-House-036</t>
        </is>
      </c>
      <c r="B37" s="17" t="inlineStr">
        <is>
          <t>SC House District 36</t>
        </is>
      </c>
      <c r="C37" s="17" t="inlineStr">
        <is>
          <t>Robert J. "Rob" Harris</t>
        </is>
      </c>
      <c r="D37" s="17" t="inlineStr">
        <is>
          <t>Republican</t>
        </is>
      </c>
      <c r="E37" s="21">
        <f>COUNTIFS(Candidates!$C:$C,$A37,Candidates!$L:$L,"D")</f>
        <v/>
      </c>
      <c r="F37" s="21">
        <f>COUNTIFS(Candidates!$C:$C,$A37,Candidates!$L:$L,"R")</f>
        <v/>
      </c>
      <c r="G37" s="21">
        <f>COUNTIFS(Candidates!$C:$C,$A37,Candidates!$L:$L,"I")+COUNTIFS(Candidates!$C:$C,$A37,Candidates!$L:$L,"O")</f>
        <v/>
      </c>
      <c r="H37" s="17" t="n"/>
      <c r="I37" s="17" t="n"/>
      <c r="J37" s="21">
        <f>COUNTIFS(Candidates!$C:$C,$A37,Candidates!$H:$H,"UNKNOWN")+COUNTIFS(Candidates!$C:$C,$A37,Candidates!$H:$H,"LOW")</f>
        <v/>
      </c>
      <c r="K37" s="17" t="n"/>
    </row>
    <row r="38">
      <c r="A38" s="16" t="inlineStr">
        <is>
          <t>SC-House-037</t>
        </is>
      </c>
      <c r="B38" s="16" t="inlineStr">
        <is>
          <t>SC House District 37</t>
        </is>
      </c>
      <c r="C38" s="16" t="inlineStr">
        <is>
          <t>Steven Wayne Long</t>
        </is>
      </c>
      <c r="D38" s="16" t="inlineStr">
        <is>
          <t>Republican</t>
        </is>
      </c>
      <c r="E38" s="21">
        <f>COUNTIFS(Candidates!$C:$C,$A38,Candidates!$L:$L,"D")</f>
        <v/>
      </c>
      <c r="F38" s="21">
        <f>COUNTIFS(Candidates!$C:$C,$A38,Candidates!$L:$L,"R")</f>
        <v/>
      </c>
      <c r="G38" s="21">
        <f>COUNTIFS(Candidates!$C:$C,$A38,Candidates!$L:$L,"I")+COUNTIFS(Candidates!$C:$C,$A38,Candidates!$L:$L,"O")</f>
        <v/>
      </c>
      <c r="H38" s="16" t="n"/>
      <c r="I38" s="16" t="n"/>
      <c r="J38" s="21">
        <f>COUNTIFS(Candidates!$C:$C,$A38,Candidates!$H:$H,"UNKNOWN")+COUNTIFS(Candidates!$C:$C,$A38,Candidates!$H:$H,"LOW")</f>
        <v/>
      </c>
      <c r="K38" s="16" t="n"/>
    </row>
    <row r="39">
      <c r="A39" s="17" t="inlineStr">
        <is>
          <t>SC-House-038</t>
        </is>
      </c>
      <c r="B39" s="17" t="inlineStr">
        <is>
          <t>SC House District 38</t>
        </is>
      </c>
      <c r="C39" s="17" t="inlineStr">
        <is>
          <t>Josiah Magnuson</t>
        </is>
      </c>
      <c r="D39" s="17" t="inlineStr">
        <is>
          <t>Republican</t>
        </is>
      </c>
      <c r="E39" s="21">
        <f>COUNTIFS(Candidates!$C:$C,$A39,Candidates!$L:$L,"D")</f>
        <v/>
      </c>
      <c r="F39" s="21">
        <f>COUNTIFS(Candidates!$C:$C,$A39,Candidates!$L:$L,"R")</f>
        <v/>
      </c>
      <c r="G39" s="21">
        <f>COUNTIFS(Candidates!$C:$C,$A39,Candidates!$L:$L,"I")+COUNTIFS(Candidates!$C:$C,$A39,Candidates!$L:$L,"O")</f>
        <v/>
      </c>
      <c r="H39" s="17" t="n"/>
      <c r="I39" s="17" t="n"/>
      <c r="J39" s="21">
        <f>COUNTIFS(Candidates!$C:$C,$A39,Candidates!$H:$H,"UNKNOWN")+COUNTIFS(Candidates!$C:$C,$A39,Candidates!$H:$H,"LOW")</f>
        <v/>
      </c>
      <c r="K39" s="17" t="n"/>
    </row>
    <row r="40">
      <c r="A40" s="16" t="inlineStr">
        <is>
          <t>SC-House-039</t>
        </is>
      </c>
      <c r="B40" s="16" t="inlineStr">
        <is>
          <t>SC House District 39</t>
        </is>
      </c>
      <c r="C40" s="16" t="inlineStr">
        <is>
          <t>Cally R. "Cal" Forrest, Jr.</t>
        </is>
      </c>
      <c r="D40" s="16" t="inlineStr">
        <is>
          <t>Republican</t>
        </is>
      </c>
      <c r="E40" s="21">
        <f>COUNTIFS(Candidates!$C:$C,$A40,Candidates!$L:$L,"D")</f>
        <v/>
      </c>
      <c r="F40" s="21">
        <f>COUNTIFS(Candidates!$C:$C,$A40,Candidates!$L:$L,"R")</f>
        <v/>
      </c>
      <c r="G40" s="21">
        <f>COUNTIFS(Candidates!$C:$C,$A40,Candidates!$L:$L,"I")+COUNTIFS(Candidates!$C:$C,$A40,Candidates!$L:$L,"O")</f>
        <v/>
      </c>
      <c r="H40" s="16" t="n"/>
      <c r="I40" s="16" t="n"/>
      <c r="J40" s="21">
        <f>COUNTIFS(Candidates!$C:$C,$A40,Candidates!$H:$H,"UNKNOWN")+COUNTIFS(Candidates!$C:$C,$A40,Candidates!$H:$H,"LOW")</f>
        <v/>
      </c>
      <c r="K40" s="16" t="n"/>
    </row>
    <row r="41">
      <c r="A41" s="17" t="inlineStr">
        <is>
          <t>SC-House-040</t>
        </is>
      </c>
      <c r="B41" s="17" t="inlineStr">
        <is>
          <t>SC House District 40</t>
        </is>
      </c>
      <c r="C41" s="17" t="inlineStr">
        <is>
          <t>Joseph S. "Joe" White</t>
        </is>
      </c>
      <c r="D41" s="17" t="inlineStr">
        <is>
          <t>Republican</t>
        </is>
      </c>
      <c r="E41" s="21">
        <f>COUNTIFS(Candidates!$C:$C,$A41,Candidates!$L:$L,"D")</f>
        <v/>
      </c>
      <c r="F41" s="21">
        <f>COUNTIFS(Candidates!$C:$C,$A41,Candidates!$L:$L,"R")</f>
        <v/>
      </c>
      <c r="G41" s="21">
        <f>COUNTIFS(Candidates!$C:$C,$A41,Candidates!$L:$L,"I")+COUNTIFS(Candidates!$C:$C,$A41,Candidates!$L:$L,"O")</f>
        <v/>
      </c>
      <c r="H41" s="17" t="n"/>
      <c r="I41" s="17" t="n"/>
      <c r="J41" s="21">
        <f>COUNTIFS(Candidates!$C:$C,$A41,Candidates!$H:$H,"UNKNOWN")+COUNTIFS(Candidates!$C:$C,$A41,Candidates!$H:$H,"LOW")</f>
        <v/>
      </c>
      <c r="K41" s="17" t="n"/>
    </row>
    <row r="42">
      <c r="A42" s="16" t="inlineStr">
        <is>
          <t>SC-House-041</t>
        </is>
      </c>
      <c r="B42" s="16" t="inlineStr">
        <is>
          <t>SC House District 41</t>
        </is>
      </c>
      <c r="C42" s="16" t="inlineStr">
        <is>
          <t>Annie E. McDaniel</t>
        </is>
      </c>
      <c r="D42" s="16" t="inlineStr">
        <is>
          <t>Democratic</t>
        </is>
      </c>
      <c r="E42" s="21">
        <f>COUNTIFS(Candidates!$C:$C,$A42,Candidates!$L:$L,"D")</f>
        <v/>
      </c>
      <c r="F42" s="21">
        <f>COUNTIFS(Candidates!$C:$C,$A42,Candidates!$L:$L,"R")</f>
        <v/>
      </c>
      <c r="G42" s="21">
        <f>COUNTIFS(Candidates!$C:$C,$A42,Candidates!$L:$L,"I")+COUNTIFS(Candidates!$C:$C,$A42,Candidates!$L:$L,"O")</f>
        <v/>
      </c>
      <c r="H42" s="16" t="n"/>
      <c r="I42" s="16" t="n"/>
      <c r="J42" s="21">
        <f>COUNTIFS(Candidates!$C:$C,$A42,Candidates!$H:$H,"UNKNOWN")+COUNTIFS(Candidates!$C:$C,$A42,Candidates!$H:$H,"LOW")</f>
        <v/>
      </c>
      <c r="K42" s="16" t="n"/>
    </row>
    <row r="43">
      <c r="A43" s="17" t="inlineStr">
        <is>
          <t>SC-House-042</t>
        </is>
      </c>
      <c r="B43" s="17" t="inlineStr">
        <is>
          <t>SC House District 42</t>
        </is>
      </c>
      <c r="C43" s="17" t="inlineStr">
        <is>
          <t>Leon D. "Doug" Gilliam</t>
        </is>
      </c>
      <c r="D43" s="17" t="inlineStr">
        <is>
          <t>Republican</t>
        </is>
      </c>
      <c r="E43" s="21">
        <f>COUNTIFS(Candidates!$C:$C,$A43,Candidates!$L:$L,"D")</f>
        <v/>
      </c>
      <c r="F43" s="21">
        <f>COUNTIFS(Candidates!$C:$C,$A43,Candidates!$L:$L,"R")</f>
        <v/>
      </c>
      <c r="G43" s="21">
        <f>COUNTIFS(Candidates!$C:$C,$A43,Candidates!$L:$L,"I")+COUNTIFS(Candidates!$C:$C,$A43,Candidates!$L:$L,"O")</f>
        <v/>
      </c>
      <c r="H43" s="17" t="n"/>
      <c r="I43" s="17" t="n"/>
      <c r="J43" s="21">
        <f>COUNTIFS(Candidates!$C:$C,$A43,Candidates!$H:$H,"UNKNOWN")+COUNTIFS(Candidates!$C:$C,$A43,Candidates!$H:$H,"LOW")</f>
        <v/>
      </c>
      <c r="K43" s="17" t="n"/>
    </row>
    <row r="44">
      <c r="A44" s="16" t="inlineStr">
        <is>
          <t>SC-House-043</t>
        </is>
      </c>
      <c r="B44" s="16" t="inlineStr">
        <is>
          <t>SC House District 43</t>
        </is>
      </c>
      <c r="C44" s="16" t="inlineStr">
        <is>
          <t>Thomas R. "Randy" Ligon</t>
        </is>
      </c>
      <c r="D44" s="16" t="inlineStr">
        <is>
          <t>Republican</t>
        </is>
      </c>
      <c r="E44" s="21">
        <f>COUNTIFS(Candidates!$C:$C,$A44,Candidates!$L:$L,"D")</f>
        <v/>
      </c>
      <c r="F44" s="21">
        <f>COUNTIFS(Candidates!$C:$C,$A44,Candidates!$L:$L,"R")</f>
        <v/>
      </c>
      <c r="G44" s="21">
        <f>COUNTIFS(Candidates!$C:$C,$A44,Candidates!$L:$L,"I")+COUNTIFS(Candidates!$C:$C,$A44,Candidates!$L:$L,"O")</f>
        <v/>
      </c>
      <c r="H44" s="16" t="n"/>
      <c r="I44" s="16" t="n"/>
      <c r="J44" s="21">
        <f>COUNTIFS(Candidates!$C:$C,$A44,Candidates!$H:$H,"UNKNOWN")+COUNTIFS(Candidates!$C:$C,$A44,Candidates!$H:$H,"LOW")</f>
        <v/>
      </c>
      <c r="K44" s="16" t="n"/>
    </row>
    <row r="45">
      <c r="A45" s="17" t="inlineStr">
        <is>
          <t>SC-House-044</t>
        </is>
      </c>
      <c r="B45" s="17" t="inlineStr">
        <is>
          <t>SC House District 44</t>
        </is>
      </c>
      <c r="C45" s="17" t="inlineStr">
        <is>
          <t>James M. "Mike" Neese</t>
        </is>
      </c>
      <c r="D45" s="17" t="inlineStr">
        <is>
          <t>Republican</t>
        </is>
      </c>
      <c r="E45" s="21">
        <f>COUNTIFS(Candidates!$C:$C,$A45,Candidates!$L:$L,"D")</f>
        <v/>
      </c>
      <c r="F45" s="21">
        <f>COUNTIFS(Candidates!$C:$C,$A45,Candidates!$L:$L,"R")</f>
        <v/>
      </c>
      <c r="G45" s="21">
        <f>COUNTIFS(Candidates!$C:$C,$A45,Candidates!$L:$L,"I")+COUNTIFS(Candidates!$C:$C,$A45,Candidates!$L:$L,"O")</f>
        <v/>
      </c>
      <c r="H45" s="17" t="n"/>
      <c r="I45" s="17" t="n"/>
      <c r="J45" s="21">
        <f>COUNTIFS(Candidates!$C:$C,$A45,Candidates!$H:$H,"UNKNOWN")+COUNTIFS(Candidates!$C:$C,$A45,Candidates!$H:$H,"LOW")</f>
        <v/>
      </c>
      <c r="K45" s="17" t="n"/>
    </row>
    <row r="46">
      <c r="A46" s="16" t="inlineStr">
        <is>
          <t>SC-House-045</t>
        </is>
      </c>
      <c r="B46" s="16" t="inlineStr">
        <is>
          <t>SC House District 45</t>
        </is>
      </c>
      <c r="C46" s="16" t="inlineStr">
        <is>
          <t>Brandon Newton</t>
        </is>
      </c>
      <c r="D46" s="16" t="inlineStr">
        <is>
          <t>Republican</t>
        </is>
      </c>
      <c r="E46" s="21">
        <f>COUNTIFS(Candidates!$C:$C,$A46,Candidates!$L:$L,"D")</f>
        <v/>
      </c>
      <c r="F46" s="21">
        <f>COUNTIFS(Candidates!$C:$C,$A46,Candidates!$L:$L,"R")</f>
        <v/>
      </c>
      <c r="G46" s="21">
        <f>COUNTIFS(Candidates!$C:$C,$A46,Candidates!$L:$L,"I")+COUNTIFS(Candidates!$C:$C,$A46,Candidates!$L:$L,"O")</f>
        <v/>
      </c>
      <c r="H46" s="16" t="n"/>
      <c r="I46" s="16" t="n"/>
      <c r="J46" s="21">
        <f>COUNTIFS(Candidates!$C:$C,$A46,Candidates!$H:$H,"UNKNOWN")+COUNTIFS(Candidates!$C:$C,$A46,Candidates!$H:$H,"LOW")</f>
        <v/>
      </c>
      <c r="K46" s="16" t="n"/>
    </row>
    <row r="47">
      <c r="A47" s="17" t="inlineStr">
        <is>
          <t>SC-House-046</t>
        </is>
      </c>
      <c r="B47" s="17" t="inlineStr">
        <is>
          <t>SC House District 46</t>
        </is>
      </c>
      <c r="C47" s="17" t="inlineStr">
        <is>
          <t>Heath Sessions</t>
        </is>
      </c>
      <c r="D47" s="17" t="inlineStr">
        <is>
          <t>Republican</t>
        </is>
      </c>
      <c r="E47" s="21">
        <f>COUNTIFS(Candidates!$C:$C,$A47,Candidates!$L:$L,"D")</f>
        <v/>
      </c>
      <c r="F47" s="21">
        <f>COUNTIFS(Candidates!$C:$C,$A47,Candidates!$L:$L,"R")</f>
        <v/>
      </c>
      <c r="G47" s="21">
        <f>COUNTIFS(Candidates!$C:$C,$A47,Candidates!$L:$L,"I")+COUNTIFS(Candidates!$C:$C,$A47,Candidates!$L:$L,"O")</f>
        <v/>
      </c>
      <c r="H47" s="17" t="n"/>
      <c r="I47" s="17" t="n"/>
      <c r="J47" s="21">
        <f>COUNTIFS(Candidates!$C:$C,$A47,Candidates!$H:$H,"UNKNOWN")+COUNTIFS(Candidates!$C:$C,$A47,Candidates!$H:$H,"LOW")</f>
        <v/>
      </c>
      <c r="K47" s="17" t="n"/>
    </row>
    <row r="48">
      <c r="A48" s="16" t="inlineStr">
        <is>
          <t>SC-House-047</t>
        </is>
      </c>
      <c r="B48" s="16" t="inlineStr">
        <is>
          <t>SC House District 47</t>
        </is>
      </c>
      <c r="C48" s="16" t="inlineStr">
        <is>
          <t>Thomas E. "Tommy" Pope</t>
        </is>
      </c>
      <c r="D48" s="16" t="inlineStr">
        <is>
          <t>Republican</t>
        </is>
      </c>
      <c r="E48" s="21">
        <f>COUNTIFS(Candidates!$C:$C,$A48,Candidates!$L:$L,"D")</f>
        <v/>
      </c>
      <c r="F48" s="21">
        <f>COUNTIFS(Candidates!$C:$C,$A48,Candidates!$L:$L,"R")</f>
        <v/>
      </c>
      <c r="G48" s="21">
        <f>COUNTIFS(Candidates!$C:$C,$A48,Candidates!$L:$L,"I")+COUNTIFS(Candidates!$C:$C,$A48,Candidates!$L:$L,"O")</f>
        <v/>
      </c>
      <c r="H48" s="16" t="n"/>
      <c r="I48" s="16" t="n"/>
      <c r="J48" s="21">
        <f>COUNTIFS(Candidates!$C:$C,$A48,Candidates!$H:$H,"UNKNOWN")+COUNTIFS(Candidates!$C:$C,$A48,Candidates!$H:$H,"LOW")</f>
        <v/>
      </c>
      <c r="K48" s="16" t="n"/>
    </row>
    <row r="49">
      <c r="A49" s="17" t="inlineStr">
        <is>
          <t>SC-House-048</t>
        </is>
      </c>
      <c r="B49" s="17" t="inlineStr">
        <is>
          <t>SC House District 48</t>
        </is>
      </c>
      <c r="C49" s="17" t="inlineStr">
        <is>
          <t>Brandon Guffey</t>
        </is>
      </c>
      <c r="D49" s="17" t="inlineStr">
        <is>
          <t>Republican</t>
        </is>
      </c>
      <c r="E49" s="21">
        <f>COUNTIFS(Candidates!$C:$C,$A49,Candidates!$L:$L,"D")</f>
        <v/>
      </c>
      <c r="F49" s="21">
        <f>COUNTIFS(Candidates!$C:$C,$A49,Candidates!$L:$L,"R")</f>
        <v/>
      </c>
      <c r="G49" s="21">
        <f>COUNTIFS(Candidates!$C:$C,$A49,Candidates!$L:$L,"I")+COUNTIFS(Candidates!$C:$C,$A49,Candidates!$L:$L,"O")</f>
        <v/>
      </c>
      <c r="H49" s="17" t="n"/>
      <c r="I49" s="17" t="n"/>
      <c r="J49" s="21">
        <f>COUNTIFS(Candidates!$C:$C,$A49,Candidates!$H:$H,"UNKNOWN")+COUNTIFS(Candidates!$C:$C,$A49,Candidates!$H:$H,"LOW")</f>
        <v/>
      </c>
      <c r="K49" s="17" t="n"/>
    </row>
    <row r="50">
      <c r="A50" s="16" t="inlineStr">
        <is>
          <t>SC-House-049</t>
        </is>
      </c>
      <c r="B50" s="16" t="inlineStr">
        <is>
          <t>SC House District 49</t>
        </is>
      </c>
      <c r="C50" s="16" t="inlineStr">
        <is>
          <t>John Richard C. King</t>
        </is>
      </c>
      <c r="D50" s="16" t="inlineStr">
        <is>
          <t>Democratic</t>
        </is>
      </c>
      <c r="E50" s="21">
        <f>COUNTIFS(Candidates!$C:$C,$A50,Candidates!$L:$L,"D")</f>
        <v/>
      </c>
      <c r="F50" s="21">
        <f>COUNTIFS(Candidates!$C:$C,$A50,Candidates!$L:$L,"R")</f>
        <v/>
      </c>
      <c r="G50" s="21">
        <f>COUNTIFS(Candidates!$C:$C,$A50,Candidates!$L:$L,"I")+COUNTIFS(Candidates!$C:$C,$A50,Candidates!$L:$L,"O")</f>
        <v/>
      </c>
      <c r="H50" s="16" t="n"/>
      <c r="I50" s="16" t="n"/>
      <c r="J50" s="21">
        <f>COUNTIFS(Candidates!$C:$C,$A50,Candidates!$H:$H,"UNKNOWN")+COUNTIFS(Candidates!$C:$C,$A50,Candidates!$H:$H,"LOW")</f>
        <v/>
      </c>
      <c r="K50" s="16" t="n"/>
    </row>
    <row r="51">
      <c r="A51" s="17" t="inlineStr">
        <is>
          <t>SC-House-050</t>
        </is>
      </c>
      <c r="B51" s="17" t="inlineStr">
        <is>
          <t>SC House District 50</t>
        </is>
      </c>
      <c r="C51" s="17" t="inlineStr">
        <is>
          <t>Keishan M. Scott</t>
        </is>
      </c>
      <c r="D51" s="17" t="inlineStr">
        <is>
          <t>Democratic</t>
        </is>
      </c>
      <c r="E51" s="21">
        <f>COUNTIFS(Candidates!$C:$C,$A51,Candidates!$L:$L,"D")</f>
        <v/>
      </c>
      <c r="F51" s="21">
        <f>COUNTIFS(Candidates!$C:$C,$A51,Candidates!$L:$L,"R")</f>
        <v/>
      </c>
      <c r="G51" s="21">
        <f>COUNTIFS(Candidates!$C:$C,$A51,Candidates!$L:$L,"I")+COUNTIFS(Candidates!$C:$C,$A51,Candidates!$L:$L,"O")</f>
        <v/>
      </c>
      <c r="H51" s="17" t="n"/>
      <c r="I51" s="17" t="n"/>
      <c r="J51" s="21">
        <f>COUNTIFS(Candidates!$C:$C,$A51,Candidates!$H:$H,"UNKNOWN")+COUNTIFS(Candidates!$C:$C,$A51,Candidates!$H:$H,"LOW")</f>
        <v/>
      </c>
      <c r="K51" s="17" t="n"/>
    </row>
    <row r="52">
      <c r="A52" s="16" t="inlineStr">
        <is>
          <t>SC-House-051</t>
        </is>
      </c>
      <c r="B52" s="16" t="inlineStr">
        <is>
          <t>SC House District 51</t>
        </is>
      </c>
      <c r="C52" s="16" t="inlineStr">
        <is>
          <t>J. David Weeks</t>
        </is>
      </c>
      <c r="D52" s="16" t="inlineStr">
        <is>
          <t>Democratic</t>
        </is>
      </c>
      <c r="E52" s="21">
        <f>COUNTIFS(Candidates!$C:$C,$A52,Candidates!$L:$L,"D")</f>
        <v/>
      </c>
      <c r="F52" s="21">
        <f>COUNTIFS(Candidates!$C:$C,$A52,Candidates!$L:$L,"R")</f>
        <v/>
      </c>
      <c r="G52" s="21">
        <f>COUNTIFS(Candidates!$C:$C,$A52,Candidates!$L:$L,"I")+COUNTIFS(Candidates!$C:$C,$A52,Candidates!$L:$L,"O")</f>
        <v/>
      </c>
      <c r="H52" s="16" t="n"/>
      <c r="I52" s="16" t="n"/>
      <c r="J52" s="21">
        <f>COUNTIFS(Candidates!$C:$C,$A52,Candidates!$H:$H,"UNKNOWN")+COUNTIFS(Candidates!$C:$C,$A52,Candidates!$H:$H,"LOW")</f>
        <v/>
      </c>
      <c r="K52" s="16" t="n"/>
    </row>
    <row r="53">
      <c r="A53" s="17" t="inlineStr">
        <is>
          <t>SC-House-052</t>
        </is>
      </c>
      <c r="B53" s="17" t="inlineStr">
        <is>
          <t>SC House District 52</t>
        </is>
      </c>
      <c r="C53" s="17" t="inlineStr">
        <is>
          <t>Jermaine L. Johnson, Sr.</t>
        </is>
      </c>
      <c r="D53" s="17" t="inlineStr">
        <is>
          <t>Democratic</t>
        </is>
      </c>
      <c r="E53" s="21">
        <f>COUNTIFS(Candidates!$C:$C,$A53,Candidates!$L:$L,"D")</f>
        <v/>
      </c>
      <c r="F53" s="21">
        <f>COUNTIFS(Candidates!$C:$C,$A53,Candidates!$L:$L,"R")</f>
        <v/>
      </c>
      <c r="G53" s="21">
        <f>COUNTIFS(Candidates!$C:$C,$A53,Candidates!$L:$L,"I")+COUNTIFS(Candidates!$C:$C,$A53,Candidates!$L:$L,"O")</f>
        <v/>
      </c>
      <c r="H53" s="17" t="n"/>
      <c r="I53" s="17" t="n"/>
      <c r="J53" s="21">
        <f>COUNTIFS(Candidates!$C:$C,$A53,Candidates!$H:$H,"UNKNOWN")+COUNTIFS(Candidates!$C:$C,$A53,Candidates!$H:$H,"LOW")</f>
        <v/>
      </c>
      <c r="K53" s="17" t="n"/>
    </row>
    <row r="54">
      <c r="A54" s="16" t="inlineStr">
        <is>
          <t>SC-House-053</t>
        </is>
      </c>
      <c r="B54" s="16" t="inlineStr">
        <is>
          <t>SC House District 53</t>
        </is>
      </c>
      <c r="C54" s="16" t="inlineStr">
        <is>
          <t>Richard L. "Richie" Yow</t>
        </is>
      </c>
      <c r="D54" s="16" t="inlineStr">
        <is>
          <t>Republican</t>
        </is>
      </c>
      <c r="E54" s="21">
        <f>COUNTIFS(Candidates!$C:$C,$A54,Candidates!$L:$L,"D")</f>
        <v/>
      </c>
      <c r="F54" s="21">
        <f>COUNTIFS(Candidates!$C:$C,$A54,Candidates!$L:$L,"R")</f>
        <v/>
      </c>
      <c r="G54" s="21">
        <f>COUNTIFS(Candidates!$C:$C,$A54,Candidates!$L:$L,"I")+COUNTIFS(Candidates!$C:$C,$A54,Candidates!$L:$L,"O")</f>
        <v/>
      </c>
      <c r="H54" s="16" t="n"/>
      <c r="I54" s="16" t="n"/>
      <c r="J54" s="21">
        <f>COUNTIFS(Candidates!$C:$C,$A54,Candidates!$H:$H,"UNKNOWN")+COUNTIFS(Candidates!$C:$C,$A54,Candidates!$H:$H,"LOW")</f>
        <v/>
      </c>
      <c r="K54" s="16" t="n"/>
    </row>
    <row r="55">
      <c r="A55" s="17" t="inlineStr">
        <is>
          <t>SC-House-054</t>
        </is>
      </c>
      <c r="B55" s="17" t="inlineStr">
        <is>
          <t>SC House District 54</t>
        </is>
      </c>
      <c r="C55" s="17" t="inlineStr">
        <is>
          <t>Jason S. Luck</t>
        </is>
      </c>
      <c r="D55" s="17" t="inlineStr">
        <is>
          <t>Democratic</t>
        </is>
      </c>
      <c r="E55" s="21">
        <f>COUNTIFS(Candidates!$C:$C,$A55,Candidates!$L:$L,"D")</f>
        <v/>
      </c>
      <c r="F55" s="21">
        <f>COUNTIFS(Candidates!$C:$C,$A55,Candidates!$L:$L,"R")</f>
        <v/>
      </c>
      <c r="G55" s="21">
        <f>COUNTIFS(Candidates!$C:$C,$A55,Candidates!$L:$L,"I")+COUNTIFS(Candidates!$C:$C,$A55,Candidates!$L:$L,"O")</f>
        <v/>
      </c>
      <c r="H55" s="17" t="n"/>
      <c r="I55" s="17" t="n"/>
      <c r="J55" s="21">
        <f>COUNTIFS(Candidates!$C:$C,$A55,Candidates!$H:$H,"UNKNOWN")+COUNTIFS(Candidates!$C:$C,$A55,Candidates!$H:$H,"LOW")</f>
        <v/>
      </c>
      <c r="K55" s="17" t="n"/>
    </row>
    <row r="56">
      <c r="A56" s="16" t="inlineStr">
        <is>
          <t>SC-House-055</t>
        </is>
      </c>
      <c r="B56" s="16" t="inlineStr">
        <is>
          <t>SC House District 55</t>
        </is>
      </c>
      <c r="C56" s="16" t="inlineStr">
        <is>
          <t>Jackie E. "Coach" Hayes</t>
        </is>
      </c>
      <c r="D56" s="16" t="inlineStr">
        <is>
          <t>Democratic</t>
        </is>
      </c>
      <c r="E56" s="21">
        <f>COUNTIFS(Candidates!$C:$C,$A56,Candidates!$L:$L,"D")</f>
        <v/>
      </c>
      <c r="F56" s="21">
        <f>COUNTIFS(Candidates!$C:$C,$A56,Candidates!$L:$L,"R")</f>
        <v/>
      </c>
      <c r="G56" s="21">
        <f>COUNTIFS(Candidates!$C:$C,$A56,Candidates!$L:$L,"I")+COUNTIFS(Candidates!$C:$C,$A56,Candidates!$L:$L,"O")</f>
        <v/>
      </c>
      <c r="H56" s="16" t="n"/>
      <c r="I56" s="16" t="n"/>
      <c r="J56" s="21">
        <f>COUNTIFS(Candidates!$C:$C,$A56,Candidates!$H:$H,"UNKNOWN")+COUNTIFS(Candidates!$C:$C,$A56,Candidates!$H:$H,"LOW")</f>
        <v/>
      </c>
      <c r="K56" s="16" t="n"/>
    </row>
    <row r="57">
      <c r="A57" s="17" t="inlineStr">
        <is>
          <t>SC-House-056</t>
        </is>
      </c>
      <c r="B57" s="17" t="inlineStr">
        <is>
          <t>SC House District 56</t>
        </is>
      </c>
      <c r="C57" s="17" t="inlineStr">
        <is>
          <t>Timothy A. "Tim" McGinnis</t>
        </is>
      </c>
      <c r="D57" s="17" t="inlineStr">
        <is>
          <t>Republican</t>
        </is>
      </c>
      <c r="E57" s="21">
        <f>COUNTIFS(Candidates!$C:$C,$A57,Candidates!$L:$L,"D")</f>
        <v/>
      </c>
      <c r="F57" s="21">
        <f>COUNTIFS(Candidates!$C:$C,$A57,Candidates!$L:$L,"R")</f>
        <v/>
      </c>
      <c r="G57" s="21">
        <f>COUNTIFS(Candidates!$C:$C,$A57,Candidates!$L:$L,"I")+COUNTIFS(Candidates!$C:$C,$A57,Candidates!$L:$L,"O")</f>
        <v/>
      </c>
      <c r="H57" s="17" t="n"/>
      <c r="I57" s="17" t="n"/>
      <c r="J57" s="21">
        <f>COUNTIFS(Candidates!$C:$C,$A57,Candidates!$H:$H,"UNKNOWN")+COUNTIFS(Candidates!$C:$C,$A57,Candidates!$H:$H,"LOW")</f>
        <v/>
      </c>
      <c r="K57" s="17" t="n"/>
    </row>
    <row r="58">
      <c r="A58" s="16" t="inlineStr">
        <is>
          <t>SC-House-057</t>
        </is>
      </c>
      <c r="B58" s="16" t="inlineStr">
        <is>
          <t>SC House District 57</t>
        </is>
      </c>
      <c r="C58" s="16" t="inlineStr">
        <is>
          <t>Lucas Atkinson</t>
        </is>
      </c>
      <c r="D58" s="16" t="inlineStr">
        <is>
          <t>Democratic</t>
        </is>
      </c>
      <c r="E58" s="21">
        <f>COUNTIFS(Candidates!$C:$C,$A58,Candidates!$L:$L,"D")</f>
        <v/>
      </c>
      <c r="F58" s="21">
        <f>COUNTIFS(Candidates!$C:$C,$A58,Candidates!$L:$L,"R")</f>
        <v/>
      </c>
      <c r="G58" s="21">
        <f>COUNTIFS(Candidates!$C:$C,$A58,Candidates!$L:$L,"I")+COUNTIFS(Candidates!$C:$C,$A58,Candidates!$L:$L,"O")</f>
        <v/>
      </c>
      <c r="H58" s="16" t="n"/>
      <c r="I58" s="16" t="n"/>
      <c r="J58" s="21">
        <f>COUNTIFS(Candidates!$C:$C,$A58,Candidates!$H:$H,"UNKNOWN")+COUNTIFS(Candidates!$C:$C,$A58,Candidates!$H:$H,"LOW")</f>
        <v/>
      </c>
      <c r="K58" s="16" t="n"/>
    </row>
    <row r="59">
      <c r="A59" s="17" t="inlineStr">
        <is>
          <t>SC-House-058</t>
        </is>
      </c>
      <c r="B59" s="17" t="inlineStr">
        <is>
          <t>SC House District 58</t>
        </is>
      </c>
      <c r="C59" s="17" t="inlineStr">
        <is>
          <t>Jeffrey E. "Jeff" Johnson</t>
        </is>
      </c>
      <c r="D59" s="17" t="inlineStr">
        <is>
          <t>Republican</t>
        </is>
      </c>
      <c r="E59" s="21">
        <f>COUNTIFS(Candidates!$C:$C,$A59,Candidates!$L:$L,"D")</f>
        <v/>
      </c>
      <c r="F59" s="21">
        <f>COUNTIFS(Candidates!$C:$C,$A59,Candidates!$L:$L,"R")</f>
        <v/>
      </c>
      <c r="G59" s="21">
        <f>COUNTIFS(Candidates!$C:$C,$A59,Candidates!$L:$L,"I")+COUNTIFS(Candidates!$C:$C,$A59,Candidates!$L:$L,"O")</f>
        <v/>
      </c>
      <c r="H59" s="17" t="n"/>
      <c r="I59" s="17" t="n"/>
      <c r="J59" s="21">
        <f>COUNTIFS(Candidates!$C:$C,$A59,Candidates!$H:$H,"UNKNOWN")+COUNTIFS(Candidates!$C:$C,$A59,Candidates!$H:$H,"LOW")</f>
        <v/>
      </c>
      <c r="K59" s="17" t="n"/>
    </row>
    <row r="60">
      <c r="A60" s="16" t="inlineStr">
        <is>
          <t>SC-House-059</t>
        </is>
      </c>
      <c r="B60" s="16" t="inlineStr">
        <is>
          <t>SC House District 59</t>
        </is>
      </c>
      <c r="C60" s="16" t="inlineStr">
        <is>
          <t>Terry Alexander</t>
        </is>
      </c>
      <c r="D60" s="16" t="inlineStr">
        <is>
          <t>Democratic</t>
        </is>
      </c>
      <c r="E60" s="21">
        <f>COUNTIFS(Candidates!$C:$C,$A60,Candidates!$L:$L,"D")</f>
        <v/>
      </c>
      <c r="F60" s="21">
        <f>COUNTIFS(Candidates!$C:$C,$A60,Candidates!$L:$L,"R")</f>
        <v/>
      </c>
      <c r="G60" s="21">
        <f>COUNTIFS(Candidates!$C:$C,$A60,Candidates!$L:$L,"I")+COUNTIFS(Candidates!$C:$C,$A60,Candidates!$L:$L,"O")</f>
        <v/>
      </c>
      <c r="H60" s="16" t="n"/>
      <c r="I60" s="16" t="n"/>
      <c r="J60" s="21">
        <f>COUNTIFS(Candidates!$C:$C,$A60,Candidates!$H:$H,"UNKNOWN")+COUNTIFS(Candidates!$C:$C,$A60,Candidates!$H:$H,"LOW")</f>
        <v/>
      </c>
      <c r="K60" s="16" t="n"/>
    </row>
    <row r="61">
      <c r="A61" s="17" t="inlineStr">
        <is>
          <t>SC-House-060</t>
        </is>
      </c>
      <c r="B61" s="17" t="inlineStr">
        <is>
          <t>SC House District 60</t>
        </is>
      </c>
      <c r="C61" s="17" t="inlineStr">
        <is>
          <t>Phillip D. Lowe</t>
        </is>
      </c>
      <c r="D61" s="17" t="inlineStr">
        <is>
          <t>Republican</t>
        </is>
      </c>
      <c r="E61" s="21">
        <f>COUNTIFS(Candidates!$C:$C,$A61,Candidates!$L:$L,"D")</f>
        <v/>
      </c>
      <c r="F61" s="21">
        <f>COUNTIFS(Candidates!$C:$C,$A61,Candidates!$L:$L,"R")</f>
        <v/>
      </c>
      <c r="G61" s="21">
        <f>COUNTIFS(Candidates!$C:$C,$A61,Candidates!$L:$L,"I")+COUNTIFS(Candidates!$C:$C,$A61,Candidates!$L:$L,"O")</f>
        <v/>
      </c>
      <c r="H61" s="17" t="n"/>
      <c r="I61" s="17" t="n"/>
      <c r="J61" s="21">
        <f>COUNTIFS(Candidates!$C:$C,$A61,Candidates!$H:$H,"UNKNOWN")+COUNTIFS(Candidates!$C:$C,$A61,Candidates!$H:$H,"LOW")</f>
        <v/>
      </c>
      <c r="K61" s="17" t="n"/>
    </row>
    <row r="62">
      <c r="A62" s="16" t="inlineStr">
        <is>
          <t>SC-House-061</t>
        </is>
      </c>
      <c r="B62" s="16" t="inlineStr">
        <is>
          <t>SC House District 61</t>
        </is>
      </c>
      <c r="C62" s="16" t="inlineStr">
        <is>
          <t>Carla Schuessler</t>
        </is>
      </c>
      <c r="D62" s="16" t="inlineStr">
        <is>
          <t>Republican</t>
        </is>
      </c>
      <c r="E62" s="21">
        <f>COUNTIFS(Candidates!$C:$C,$A62,Candidates!$L:$L,"D")</f>
        <v/>
      </c>
      <c r="F62" s="21">
        <f>COUNTIFS(Candidates!$C:$C,$A62,Candidates!$L:$L,"R")</f>
        <v/>
      </c>
      <c r="G62" s="21">
        <f>COUNTIFS(Candidates!$C:$C,$A62,Candidates!$L:$L,"I")+COUNTIFS(Candidates!$C:$C,$A62,Candidates!$L:$L,"O")</f>
        <v/>
      </c>
      <c r="H62" s="16" t="n"/>
      <c r="I62" s="16" t="n"/>
      <c r="J62" s="21">
        <f>COUNTIFS(Candidates!$C:$C,$A62,Candidates!$H:$H,"UNKNOWN")+COUNTIFS(Candidates!$C:$C,$A62,Candidates!$H:$H,"LOW")</f>
        <v/>
      </c>
      <c r="K62" s="16" t="n"/>
    </row>
    <row r="63">
      <c r="A63" s="17" t="inlineStr">
        <is>
          <t>SC-House-062</t>
        </is>
      </c>
      <c r="B63" s="17" t="inlineStr">
        <is>
          <t>SC House District 62</t>
        </is>
      </c>
      <c r="C63" s="17" t="inlineStr">
        <is>
          <t>Robert Q. Williams</t>
        </is>
      </c>
      <c r="D63" s="17" t="inlineStr">
        <is>
          <t>Democratic</t>
        </is>
      </c>
      <c r="E63" s="21">
        <f>COUNTIFS(Candidates!$C:$C,$A63,Candidates!$L:$L,"D")</f>
        <v/>
      </c>
      <c r="F63" s="21">
        <f>COUNTIFS(Candidates!$C:$C,$A63,Candidates!$L:$L,"R")</f>
        <v/>
      </c>
      <c r="G63" s="21">
        <f>COUNTIFS(Candidates!$C:$C,$A63,Candidates!$L:$L,"I")+COUNTIFS(Candidates!$C:$C,$A63,Candidates!$L:$L,"O")</f>
        <v/>
      </c>
      <c r="H63" s="17" t="n"/>
      <c r="I63" s="17" t="n"/>
      <c r="J63" s="21">
        <f>COUNTIFS(Candidates!$C:$C,$A63,Candidates!$H:$H,"UNKNOWN")+COUNTIFS(Candidates!$C:$C,$A63,Candidates!$H:$H,"LOW")</f>
        <v/>
      </c>
      <c r="K63" s="17" t="n"/>
    </row>
    <row r="64">
      <c r="A64" s="16" t="inlineStr">
        <is>
          <t>SC-House-063</t>
        </is>
      </c>
      <c r="B64" s="16" t="inlineStr">
        <is>
          <t>SC House District 63</t>
        </is>
      </c>
      <c r="C64" s="16" t="inlineStr">
        <is>
          <t>Wallace H. "Jay" Jordan, Jr.</t>
        </is>
      </c>
      <c r="D64" s="16" t="inlineStr">
        <is>
          <t>Republican</t>
        </is>
      </c>
      <c r="E64" s="21">
        <f>COUNTIFS(Candidates!$C:$C,$A64,Candidates!$L:$L,"D")</f>
        <v/>
      </c>
      <c r="F64" s="21">
        <f>COUNTIFS(Candidates!$C:$C,$A64,Candidates!$L:$L,"R")</f>
        <v/>
      </c>
      <c r="G64" s="21">
        <f>COUNTIFS(Candidates!$C:$C,$A64,Candidates!$L:$L,"I")+COUNTIFS(Candidates!$C:$C,$A64,Candidates!$L:$L,"O")</f>
        <v/>
      </c>
      <c r="H64" s="16" t="n"/>
      <c r="I64" s="16" t="n"/>
      <c r="J64" s="21">
        <f>COUNTIFS(Candidates!$C:$C,$A64,Candidates!$H:$H,"UNKNOWN")+COUNTIFS(Candidates!$C:$C,$A64,Candidates!$H:$H,"LOW")</f>
        <v/>
      </c>
      <c r="K64" s="16" t="n"/>
    </row>
    <row r="65">
      <c r="A65" s="17" t="inlineStr">
        <is>
          <t>SC-House-064</t>
        </is>
      </c>
      <c r="B65" s="17" t="inlineStr">
        <is>
          <t>SC House District 64</t>
        </is>
      </c>
      <c r="C65" s="17" t="inlineStr">
        <is>
          <t>Fawn M. Pedalino</t>
        </is>
      </c>
      <c r="D65" s="17" t="inlineStr">
        <is>
          <t>Republican</t>
        </is>
      </c>
      <c r="E65" s="21">
        <f>COUNTIFS(Candidates!$C:$C,$A65,Candidates!$L:$L,"D")</f>
        <v/>
      </c>
      <c r="F65" s="21">
        <f>COUNTIFS(Candidates!$C:$C,$A65,Candidates!$L:$L,"R")</f>
        <v/>
      </c>
      <c r="G65" s="21">
        <f>COUNTIFS(Candidates!$C:$C,$A65,Candidates!$L:$L,"I")+COUNTIFS(Candidates!$C:$C,$A65,Candidates!$L:$L,"O")</f>
        <v/>
      </c>
      <c r="H65" s="17" t="n"/>
      <c r="I65" s="17" t="n"/>
      <c r="J65" s="21">
        <f>COUNTIFS(Candidates!$C:$C,$A65,Candidates!$H:$H,"UNKNOWN")+COUNTIFS(Candidates!$C:$C,$A65,Candidates!$H:$H,"LOW")</f>
        <v/>
      </c>
      <c r="K65" s="17" t="n"/>
    </row>
    <row r="66">
      <c r="A66" s="16" t="inlineStr">
        <is>
          <t>SC-House-065</t>
        </is>
      </c>
      <c r="B66" s="16" t="inlineStr">
        <is>
          <t>SC House District 65</t>
        </is>
      </c>
      <c r="C66" s="16" t="inlineStr">
        <is>
          <t>Cody T. Mitchell</t>
        </is>
      </c>
      <c r="D66" s="16" t="inlineStr">
        <is>
          <t>Republican</t>
        </is>
      </c>
      <c r="E66" s="21">
        <f>COUNTIFS(Candidates!$C:$C,$A66,Candidates!$L:$L,"D")</f>
        <v/>
      </c>
      <c r="F66" s="21">
        <f>COUNTIFS(Candidates!$C:$C,$A66,Candidates!$L:$L,"R")</f>
        <v/>
      </c>
      <c r="G66" s="21">
        <f>COUNTIFS(Candidates!$C:$C,$A66,Candidates!$L:$L,"I")+COUNTIFS(Candidates!$C:$C,$A66,Candidates!$L:$L,"O")</f>
        <v/>
      </c>
      <c r="H66" s="16" t="n"/>
      <c r="I66" s="16" t="n"/>
      <c r="J66" s="21">
        <f>COUNTIFS(Candidates!$C:$C,$A66,Candidates!$H:$H,"UNKNOWN")+COUNTIFS(Candidates!$C:$C,$A66,Candidates!$H:$H,"LOW")</f>
        <v/>
      </c>
      <c r="K66" s="16" t="n"/>
    </row>
    <row r="67">
      <c r="A67" s="17" t="inlineStr">
        <is>
          <t>SC-House-066</t>
        </is>
      </c>
      <c r="B67" s="17" t="inlineStr">
        <is>
          <t>SC House District 66</t>
        </is>
      </c>
      <c r="C67" s="17" t="inlineStr">
        <is>
          <t>Jackie R. Terribile</t>
        </is>
      </c>
      <c r="D67" s="17" t="inlineStr">
        <is>
          <t>Republican</t>
        </is>
      </c>
      <c r="E67" s="21">
        <f>COUNTIFS(Candidates!$C:$C,$A67,Candidates!$L:$L,"D")</f>
        <v/>
      </c>
      <c r="F67" s="21">
        <f>COUNTIFS(Candidates!$C:$C,$A67,Candidates!$L:$L,"R")</f>
        <v/>
      </c>
      <c r="G67" s="21">
        <f>COUNTIFS(Candidates!$C:$C,$A67,Candidates!$L:$L,"I")+COUNTIFS(Candidates!$C:$C,$A67,Candidates!$L:$L,"O")</f>
        <v/>
      </c>
      <c r="H67" s="17" t="n"/>
      <c r="I67" s="17" t="n"/>
      <c r="J67" s="21">
        <f>COUNTIFS(Candidates!$C:$C,$A67,Candidates!$H:$H,"UNKNOWN")+COUNTIFS(Candidates!$C:$C,$A67,Candidates!$H:$H,"LOW")</f>
        <v/>
      </c>
      <c r="K67" s="17" t="n"/>
    </row>
    <row r="68">
      <c r="A68" s="16" t="inlineStr">
        <is>
          <t>SC-House-067</t>
        </is>
      </c>
      <c r="B68" s="16" t="inlineStr">
        <is>
          <t>SC House District 67</t>
        </is>
      </c>
      <c r="C68" s="16" t="inlineStr">
        <is>
          <t>G. Murrell Smith, Jr.</t>
        </is>
      </c>
      <c r="D68" s="16" t="inlineStr">
        <is>
          <t>Republican</t>
        </is>
      </c>
      <c r="E68" s="21">
        <f>COUNTIFS(Candidates!$C:$C,$A68,Candidates!$L:$L,"D")</f>
        <v/>
      </c>
      <c r="F68" s="21">
        <f>COUNTIFS(Candidates!$C:$C,$A68,Candidates!$L:$L,"R")</f>
        <v/>
      </c>
      <c r="G68" s="21">
        <f>COUNTIFS(Candidates!$C:$C,$A68,Candidates!$L:$L,"I")+COUNTIFS(Candidates!$C:$C,$A68,Candidates!$L:$L,"O")</f>
        <v/>
      </c>
      <c r="H68" s="16" t="n"/>
      <c r="I68" s="16" t="n"/>
      <c r="J68" s="21">
        <f>COUNTIFS(Candidates!$C:$C,$A68,Candidates!$H:$H,"UNKNOWN")+COUNTIFS(Candidates!$C:$C,$A68,Candidates!$H:$H,"LOW")</f>
        <v/>
      </c>
      <c r="K68" s="16" t="n"/>
    </row>
    <row r="69">
      <c r="A69" s="17" t="inlineStr">
        <is>
          <t>SC-House-068</t>
        </is>
      </c>
      <c r="B69" s="17" t="inlineStr">
        <is>
          <t>SC House District 68</t>
        </is>
      </c>
      <c r="C69" s="17" t="inlineStr">
        <is>
          <t>Heather Ammons Crawford</t>
        </is>
      </c>
      <c r="D69" s="17" t="inlineStr">
        <is>
          <t>Republican</t>
        </is>
      </c>
      <c r="E69" s="21">
        <f>COUNTIFS(Candidates!$C:$C,$A69,Candidates!$L:$L,"D")</f>
        <v/>
      </c>
      <c r="F69" s="21">
        <f>COUNTIFS(Candidates!$C:$C,$A69,Candidates!$L:$L,"R")</f>
        <v/>
      </c>
      <c r="G69" s="21">
        <f>COUNTIFS(Candidates!$C:$C,$A69,Candidates!$L:$L,"I")+COUNTIFS(Candidates!$C:$C,$A69,Candidates!$L:$L,"O")</f>
        <v/>
      </c>
      <c r="H69" s="17" t="n"/>
      <c r="I69" s="17" t="n"/>
      <c r="J69" s="21">
        <f>COUNTIFS(Candidates!$C:$C,$A69,Candidates!$H:$H,"UNKNOWN")+COUNTIFS(Candidates!$C:$C,$A69,Candidates!$H:$H,"LOW")</f>
        <v/>
      </c>
      <c r="K69" s="17" t="n"/>
    </row>
    <row r="70">
      <c r="A70" s="16" t="inlineStr">
        <is>
          <t>SC-House-069</t>
        </is>
      </c>
      <c r="B70" s="16" t="inlineStr">
        <is>
          <t>SC House District 69</t>
        </is>
      </c>
      <c r="C70" s="16" t="inlineStr">
        <is>
          <t>Chris Wooten</t>
        </is>
      </c>
      <c r="D70" s="16" t="inlineStr">
        <is>
          <t>Republican</t>
        </is>
      </c>
      <c r="E70" s="21">
        <f>COUNTIFS(Candidates!$C:$C,$A70,Candidates!$L:$L,"D")</f>
        <v/>
      </c>
      <c r="F70" s="21">
        <f>COUNTIFS(Candidates!$C:$C,$A70,Candidates!$L:$L,"R")</f>
        <v/>
      </c>
      <c r="G70" s="21">
        <f>COUNTIFS(Candidates!$C:$C,$A70,Candidates!$L:$L,"I")+COUNTIFS(Candidates!$C:$C,$A70,Candidates!$L:$L,"O")</f>
        <v/>
      </c>
      <c r="H70" s="16" t="n"/>
      <c r="I70" s="16" t="n"/>
      <c r="J70" s="21">
        <f>COUNTIFS(Candidates!$C:$C,$A70,Candidates!$H:$H,"UNKNOWN")+COUNTIFS(Candidates!$C:$C,$A70,Candidates!$H:$H,"LOW")</f>
        <v/>
      </c>
      <c r="K70" s="16" t="n"/>
    </row>
    <row r="71">
      <c r="A71" s="17" t="inlineStr">
        <is>
          <t>SC-House-070</t>
        </is>
      </c>
      <c r="B71" s="17" t="inlineStr">
        <is>
          <t>SC House District 70</t>
        </is>
      </c>
      <c r="C71" s="17" t="inlineStr">
        <is>
          <t>Robert T. Reese</t>
        </is>
      </c>
      <c r="D71" s="17" t="inlineStr">
        <is>
          <t>Democratic</t>
        </is>
      </c>
      <c r="E71" s="21">
        <f>COUNTIFS(Candidates!$C:$C,$A71,Candidates!$L:$L,"D")</f>
        <v/>
      </c>
      <c r="F71" s="21">
        <f>COUNTIFS(Candidates!$C:$C,$A71,Candidates!$L:$L,"R")</f>
        <v/>
      </c>
      <c r="G71" s="21">
        <f>COUNTIFS(Candidates!$C:$C,$A71,Candidates!$L:$L,"I")+COUNTIFS(Candidates!$C:$C,$A71,Candidates!$L:$L,"O")</f>
        <v/>
      </c>
      <c r="H71" s="17" t="n"/>
      <c r="I71" s="17" t="n"/>
      <c r="J71" s="21">
        <f>COUNTIFS(Candidates!$C:$C,$A71,Candidates!$H:$H,"UNKNOWN")+COUNTIFS(Candidates!$C:$C,$A71,Candidates!$H:$H,"LOW")</f>
        <v/>
      </c>
      <c r="K71" s="17" t="n"/>
    </row>
    <row r="72">
      <c r="A72" s="16" t="inlineStr">
        <is>
          <t>SC-House-071</t>
        </is>
      </c>
      <c r="B72" s="16" t="inlineStr">
        <is>
          <t>SC House District 71</t>
        </is>
      </c>
      <c r="C72" s="16" t="inlineStr">
        <is>
          <t>Nathan Ballentine</t>
        </is>
      </c>
      <c r="D72" s="16" t="inlineStr">
        <is>
          <t>Republican</t>
        </is>
      </c>
      <c r="E72" s="21">
        <f>COUNTIFS(Candidates!$C:$C,$A72,Candidates!$L:$L,"D")</f>
        <v/>
      </c>
      <c r="F72" s="21">
        <f>COUNTIFS(Candidates!$C:$C,$A72,Candidates!$L:$L,"R")</f>
        <v/>
      </c>
      <c r="G72" s="21">
        <f>COUNTIFS(Candidates!$C:$C,$A72,Candidates!$L:$L,"I")+COUNTIFS(Candidates!$C:$C,$A72,Candidates!$L:$L,"O")</f>
        <v/>
      </c>
      <c r="H72" s="16" t="n"/>
      <c r="I72" s="16" t="n"/>
      <c r="J72" s="21">
        <f>COUNTIFS(Candidates!$C:$C,$A72,Candidates!$H:$H,"UNKNOWN")+COUNTIFS(Candidates!$C:$C,$A72,Candidates!$H:$H,"LOW")</f>
        <v/>
      </c>
      <c r="K72" s="16" t="n"/>
    </row>
    <row r="73">
      <c r="A73" s="17" t="inlineStr">
        <is>
          <t>SC-House-072</t>
        </is>
      </c>
      <c r="B73" s="17" t="inlineStr">
        <is>
          <t>SC House District 72</t>
        </is>
      </c>
      <c r="C73" s="17" t="inlineStr">
        <is>
          <t>Seth Rose</t>
        </is>
      </c>
      <c r="D73" s="17" t="inlineStr">
        <is>
          <t>Democratic</t>
        </is>
      </c>
      <c r="E73" s="21">
        <f>COUNTIFS(Candidates!$C:$C,$A73,Candidates!$L:$L,"D")</f>
        <v/>
      </c>
      <c r="F73" s="21">
        <f>COUNTIFS(Candidates!$C:$C,$A73,Candidates!$L:$L,"R")</f>
        <v/>
      </c>
      <c r="G73" s="21">
        <f>COUNTIFS(Candidates!$C:$C,$A73,Candidates!$L:$L,"I")+COUNTIFS(Candidates!$C:$C,$A73,Candidates!$L:$L,"O")</f>
        <v/>
      </c>
      <c r="H73" s="17" t="n"/>
      <c r="I73" s="17" t="n"/>
      <c r="J73" s="21">
        <f>COUNTIFS(Candidates!$C:$C,$A73,Candidates!$H:$H,"UNKNOWN")+COUNTIFS(Candidates!$C:$C,$A73,Candidates!$H:$H,"LOW")</f>
        <v/>
      </c>
      <c r="K73" s="17" t="n"/>
    </row>
    <row r="74">
      <c r="A74" s="16" t="inlineStr">
        <is>
          <t>SC-House-073</t>
        </is>
      </c>
      <c r="B74" s="16" t="inlineStr">
        <is>
          <t>SC House District 73</t>
        </is>
      </c>
      <c r="C74" s="16" t="inlineStr">
        <is>
          <t>Christopher R. "Chris" Hart</t>
        </is>
      </c>
      <c r="D74" s="16" t="inlineStr">
        <is>
          <t>Democratic</t>
        </is>
      </c>
      <c r="E74" s="21">
        <f>COUNTIFS(Candidates!$C:$C,$A74,Candidates!$L:$L,"D")</f>
        <v/>
      </c>
      <c r="F74" s="21">
        <f>COUNTIFS(Candidates!$C:$C,$A74,Candidates!$L:$L,"R")</f>
        <v/>
      </c>
      <c r="G74" s="21">
        <f>COUNTIFS(Candidates!$C:$C,$A74,Candidates!$L:$L,"I")+COUNTIFS(Candidates!$C:$C,$A74,Candidates!$L:$L,"O")</f>
        <v/>
      </c>
      <c r="H74" s="16" t="n"/>
      <c r="I74" s="16" t="n"/>
      <c r="J74" s="21">
        <f>COUNTIFS(Candidates!$C:$C,$A74,Candidates!$H:$H,"UNKNOWN")+COUNTIFS(Candidates!$C:$C,$A74,Candidates!$H:$H,"LOW")</f>
        <v/>
      </c>
      <c r="K74" s="16" t="n"/>
    </row>
    <row r="75">
      <c r="A75" s="17" t="inlineStr">
        <is>
          <t>SC-House-074</t>
        </is>
      </c>
      <c r="B75" s="17" t="inlineStr">
        <is>
          <t>SC House District 74</t>
        </is>
      </c>
      <c r="C75" s="17" t="inlineStr">
        <is>
          <t>J. Todd Rutherford</t>
        </is>
      </c>
      <c r="D75" s="17" t="inlineStr">
        <is>
          <t>Democratic</t>
        </is>
      </c>
      <c r="E75" s="21">
        <f>COUNTIFS(Candidates!$C:$C,$A75,Candidates!$L:$L,"D")</f>
        <v/>
      </c>
      <c r="F75" s="21">
        <f>COUNTIFS(Candidates!$C:$C,$A75,Candidates!$L:$L,"R")</f>
        <v/>
      </c>
      <c r="G75" s="21">
        <f>COUNTIFS(Candidates!$C:$C,$A75,Candidates!$L:$L,"I")+COUNTIFS(Candidates!$C:$C,$A75,Candidates!$L:$L,"O")</f>
        <v/>
      </c>
      <c r="H75" s="17" t="n"/>
      <c r="I75" s="17" t="n"/>
      <c r="J75" s="21">
        <f>COUNTIFS(Candidates!$C:$C,$A75,Candidates!$H:$H,"UNKNOWN")+COUNTIFS(Candidates!$C:$C,$A75,Candidates!$H:$H,"LOW")</f>
        <v/>
      </c>
      <c r="K75" s="17" t="n"/>
    </row>
    <row r="76">
      <c r="A76" s="16" t="inlineStr">
        <is>
          <t>SC-House-075</t>
        </is>
      </c>
      <c r="B76" s="16" t="inlineStr">
        <is>
          <t>SC House District 75</t>
        </is>
      </c>
      <c r="C76" s="16" t="inlineStr">
        <is>
          <t>Heather Bauer</t>
        </is>
      </c>
      <c r="D76" s="16" t="inlineStr">
        <is>
          <t>Democratic</t>
        </is>
      </c>
      <c r="E76" s="21">
        <f>COUNTIFS(Candidates!$C:$C,$A76,Candidates!$L:$L,"D")</f>
        <v/>
      </c>
      <c r="F76" s="21">
        <f>COUNTIFS(Candidates!$C:$C,$A76,Candidates!$L:$L,"R")</f>
        <v/>
      </c>
      <c r="G76" s="21">
        <f>COUNTIFS(Candidates!$C:$C,$A76,Candidates!$L:$L,"I")+COUNTIFS(Candidates!$C:$C,$A76,Candidates!$L:$L,"O")</f>
        <v/>
      </c>
      <c r="H76" s="16" t="n"/>
      <c r="I76" s="16" t="n"/>
      <c r="J76" s="21">
        <f>COUNTIFS(Candidates!$C:$C,$A76,Candidates!$H:$H,"UNKNOWN")+COUNTIFS(Candidates!$C:$C,$A76,Candidates!$H:$H,"LOW")</f>
        <v/>
      </c>
      <c r="K76" s="16" t="n"/>
    </row>
    <row r="77">
      <c r="A77" s="17" t="inlineStr">
        <is>
          <t>SC-House-076</t>
        </is>
      </c>
      <c r="B77" s="17" t="inlineStr">
        <is>
          <t>SC House District 76</t>
        </is>
      </c>
      <c r="C77" s="17" t="inlineStr">
        <is>
          <t>Leon Howard</t>
        </is>
      </c>
      <c r="D77" s="17" t="inlineStr">
        <is>
          <t>Democratic</t>
        </is>
      </c>
      <c r="E77" s="21">
        <f>COUNTIFS(Candidates!$C:$C,$A77,Candidates!$L:$L,"D")</f>
        <v/>
      </c>
      <c r="F77" s="21">
        <f>COUNTIFS(Candidates!$C:$C,$A77,Candidates!$L:$L,"R")</f>
        <v/>
      </c>
      <c r="G77" s="21">
        <f>COUNTIFS(Candidates!$C:$C,$A77,Candidates!$L:$L,"I")+COUNTIFS(Candidates!$C:$C,$A77,Candidates!$L:$L,"O")</f>
        <v/>
      </c>
      <c r="H77" s="17" t="n"/>
      <c r="I77" s="17" t="n"/>
      <c r="J77" s="21">
        <f>COUNTIFS(Candidates!$C:$C,$A77,Candidates!$H:$H,"UNKNOWN")+COUNTIFS(Candidates!$C:$C,$A77,Candidates!$H:$H,"LOW")</f>
        <v/>
      </c>
      <c r="K77" s="17" t="n"/>
    </row>
    <row r="78">
      <c r="A78" s="16" t="inlineStr">
        <is>
          <t>SC-House-077</t>
        </is>
      </c>
      <c r="B78" s="16" t="inlineStr">
        <is>
          <t>SC House District 77</t>
        </is>
      </c>
      <c r="C78" s="16" t="inlineStr">
        <is>
          <t>Kambrell H. Garvin</t>
        </is>
      </c>
      <c r="D78" s="16" t="inlineStr">
        <is>
          <t>Democratic</t>
        </is>
      </c>
      <c r="E78" s="21">
        <f>COUNTIFS(Candidates!$C:$C,$A78,Candidates!$L:$L,"D")</f>
        <v/>
      </c>
      <c r="F78" s="21">
        <f>COUNTIFS(Candidates!$C:$C,$A78,Candidates!$L:$L,"R")</f>
        <v/>
      </c>
      <c r="G78" s="21">
        <f>COUNTIFS(Candidates!$C:$C,$A78,Candidates!$L:$L,"I")+COUNTIFS(Candidates!$C:$C,$A78,Candidates!$L:$L,"O")</f>
        <v/>
      </c>
      <c r="H78" s="16" t="n"/>
      <c r="I78" s="16" t="n"/>
      <c r="J78" s="21">
        <f>COUNTIFS(Candidates!$C:$C,$A78,Candidates!$H:$H,"UNKNOWN")+COUNTIFS(Candidates!$C:$C,$A78,Candidates!$H:$H,"LOW")</f>
        <v/>
      </c>
      <c r="K78" s="16" t="n"/>
    </row>
    <row r="79">
      <c r="A79" s="17" t="inlineStr">
        <is>
          <t>SC-House-078</t>
        </is>
      </c>
      <c r="B79" s="17" t="inlineStr">
        <is>
          <t>SC House District 78</t>
        </is>
      </c>
      <c r="C79" s="17" t="inlineStr">
        <is>
          <t>Beth E. Bernstein</t>
        </is>
      </c>
      <c r="D79" s="17" t="inlineStr">
        <is>
          <t>Democratic</t>
        </is>
      </c>
      <c r="E79" s="21">
        <f>COUNTIFS(Candidates!$C:$C,$A79,Candidates!$L:$L,"D")</f>
        <v/>
      </c>
      <c r="F79" s="21">
        <f>COUNTIFS(Candidates!$C:$C,$A79,Candidates!$L:$L,"R")</f>
        <v/>
      </c>
      <c r="G79" s="21">
        <f>COUNTIFS(Candidates!$C:$C,$A79,Candidates!$L:$L,"I")+COUNTIFS(Candidates!$C:$C,$A79,Candidates!$L:$L,"O")</f>
        <v/>
      </c>
      <c r="H79" s="17" t="n"/>
      <c r="I79" s="17" t="n"/>
      <c r="J79" s="21">
        <f>COUNTIFS(Candidates!$C:$C,$A79,Candidates!$H:$H,"UNKNOWN")+COUNTIFS(Candidates!$C:$C,$A79,Candidates!$H:$H,"LOW")</f>
        <v/>
      </c>
      <c r="K79" s="17" t="n"/>
    </row>
    <row r="80">
      <c r="A80" s="16" t="inlineStr">
        <is>
          <t>SC-House-079</t>
        </is>
      </c>
      <c r="B80" s="16" t="inlineStr">
        <is>
          <t>SC House District 79</t>
        </is>
      </c>
      <c r="C80" s="16" t="inlineStr">
        <is>
          <t>Hamilton R. Grant</t>
        </is>
      </c>
      <c r="D80" s="16" t="inlineStr">
        <is>
          <t>Democratic</t>
        </is>
      </c>
      <c r="E80" s="21">
        <f>COUNTIFS(Candidates!$C:$C,$A80,Candidates!$L:$L,"D")</f>
        <v/>
      </c>
      <c r="F80" s="21">
        <f>COUNTIFS(Candidates!$C:$C,$A80,Candidates!$L:$L,"R")</f>
        <v/>
      </c>
      <c r="G80" s="21">
        <f>COUNTIFS(Candidates!$C:$C,$A80,Candidates!$L:$L,"I")+COUNTIFS(Candidates!$C:$C,$A80,Candidates!$L:$L,"O")</f>
        <v/>
      </c>
      <c r="H80" s="16" t="n"/>
      <c r="I80" s="16" t="n"/>
      <c r="J80" s="21">
        <f>COUNTIFS(Candidates!$C:$C,$A80,Candidates!$H:$H,"UNKNOWN")+COUNTIFS(Candidates!$C:$C,$A80,Candidates!$H:$H,"LOW")</f>
        <v/>
      </c>
      <c r="K80" s="16" t="n"/>
    </row>
    <row r="81">
      <c r="A81" s="17" t="inlineStr">
        <is>
          <t>SC-House-080</t>
        </is>
      </c>
      <c r="B81" s="17" t="inlineStr">
        <is>
          <t>SC House District 80</t>
        </is>
      </c>
      <c r="C81" s="17" t="inlineStr">
        <is>
          <t>Kathy Landing</t>
        </is>
      </c>
      <c r="D81" s="17" t="inlineStr">
        <is>
          <t>Republican</t>
        </is>
      </c>
      <c r="E81" s="21">
        <f>COUNTIFS(Candidates!$C:$C,$A81,Candidates!$L:$L,"D")</f>
        <v/>
      </c>
      <c r="F81" s="21">
        <f>COUNTIFS(Candidates!$C:$C,$A81,Candidates!$L:$L,"R")</f>
        <v/>
      </c>
      <c r="G81" s="21">
        <f>COUNTIFS(Candidates!$C:$C,$A81,Candidates!$L:$L,"I")+COUNTIFS(Candidates!$C:$C,$A81,Candidates!$L:$L,"O")</f>
        <v/>
      </c>
      <c r="H81" s="17" t="n"/>
      <c r="I81" s="17" t="n"/>
      <c r="J81" s="21">
        <f>COUNTIFS(Candidates!$C:$C,$A81,Candidates!$H:$H,"UNKNOWN")+COUNTIFS(Candidates!$C:$C,$A81,Candidates!$H:$H,"LOW")</f>
        <v/>
      </c>
      <c r="K81" s="17" t="n"/>
    </row>
    <row r="82">
      <c r="A82" s="16" t="inlineStr">
        <is>
          <t>SC-House-081</t>
        </is>
      </c>
      <c r="B82" s="16" t="inlineStr">
        <is>
          <t>SC House District 81</t>
        </is>
      </c>
      <c r="C82" s="16" t="inlineStr">
        <is>
          <t>Charles V. Hartz</t>
        </is>
      </c>
      <c r="D82" s="16" t="inlineStr">
        <is>
          <t>Republican</t>
        </is>
      </c>
      <c r="E82" s="21">
        <f>COUNTIFS(Candidates!$C:$C,$A82,Candidates!$L:$L,"D")</f>
        <v/>
      </c>
      <c r="F82" s="21">
        <f>COUNTIFS(Candidates!$C:$C,$A82,Candidates!$L:$L,"R")</f>
        <v/>
      </c>
      <c r="G82" s="21">
        <f>COUNTIFS(Candidates!$C:$C,$A82,Candidates!$L:$L,"I")+COUNTIFS(Candidates!$C:$C,$A82,Candidates!$L:$L,"O")</f>
        <v/>
      </c>
      <c r="H82" s="16" t="n"/>
      <c r="I82" s="16" t="n"/>
      <c r="J82" s="21">
        <f>COUNTIFS(Candidates!$C:$C,$A82,Candidates!$H:$H,"UNKNOWN")+COUNTIFS(Candidates!$C:$C,$A82,Candidates!$H:$H,"LOW")</f>
        <v/>
      </c>
      <c r="K82" s="16" t="n"/>
    </row>
    <row r="83">
      <c r="A83" s="17" t="inlineStr">
        <is>
          <t>SC-House-082</t>
        </is>
      </c>
      <c r="B83" s="17" t="inlineStr">
        <is>
          <t>SC House District 82</t>
        </is>
      </c>
      <c r="C83" s="17" t="inlineStr">
        <is>
          <t>William "Bill" Clyburn</t>
        </is>
      </c>
      <c r="D83" s="17" t="inlineStr">
        <is>
          <t>Democratic</t>
        </is>
      </c>
      <c r="E83" s="21">
        <f>COUNTIFS(Candidates!$C:$C,$A83,Candidates!$L:$L,"D")</f>
        <v/>
      </c>
      <c r="F83" s="21">
        <f>COUNTIFS(Candidates!$C:$C,$A83,Candidates!$L:$L,"R")</f>
        <v/>
      </c>
      <c r="G83" s="21">
        <f>COUNTIFS(Candidates!$C:$C,$A83,Candidates!$L:$L,"I")+COUNTIFS(Candidates!$C:$C,$A83,Candidates!$L:$L,"O")</f>
        <v/>
      </c>
      <c r="H83" s="17" t="n"/>
      <c r="I83" s="17" t="n"/>
      <c r="J83" s="21">
        <f>COUNTIFS(Candidates!$C:$C,$A83,Candidates!$H:$H,"UNKNOWN")+COUNTIFS(Candidates!$C:$C,$A83,Candidates!$H:$H,"LOW")</f>
        <v/>
      </c>
      <c r="K83" s="17" t="n"/>
    </row>
    <row r="84">
      <c r="A84" s="16" t="inlineStr">
        <is>
          <t>SC-House-083</t>
        </is>
      </c>
      <c r="B84" s="16" t="inlineStr">
        <is>
          <t>SC House District 83</t>
        </is>
      </c>
      <c r="C84" s="16" t="inlineStr">
        <is>
          <t>William M. "Bill" Hixon</t>
        </is>
      </c>
      <c r="D84" s="16" t="inlineStr">
        <is>
          <t>Republican</t>
        </is>
      </c>
      <c r="E84" s="21">
        <f>COUNTIFS(Candidates!$C:$C,$A84,Candidates!$L:$L,"D")</f>
        <v/>
      </c>
      <c r="F84" s="21">
        <f>COUNTIFS(Candidates!$C:$C,$A84,Candidates!$L:$L,"R")</f>
        <v/>
      </c>
      <c r="G84" s="21">
        <f>COUNTIFS(Candidates!$C:$C,$A84,Candidates!$L:$L,"I")+COUNTIFS(Candidates!$C:$C,$A84,Candidates!$L:$L,"O")</f>
        <v/>
      </c>
      <c r="H84" s="16" t="n"/>
      <c r="I84" s="16" t="n"/>
      <c r="J84" s="21">
        <f>COUNTIFS(Candidates!$C:$C,$A84,Candidates!$H:$H,"UNKNOWN")+COUNTIFS(Candidates!$C:$C,$A84,Candidates!$H:$H,"LOW")</f>
        <v/>
      </c>
      <c r="K84" s="16" t="n"/>
    </row>
    <row r="85">
      <c r="A85" s="17" t="inlineStr">
        <is>
          <t>SC-House-084</t>
        </is>
      </c>
      <c r="B85" s="17" t="inlineStr">
        <is>
          <t>SC House District 84</t>
        </is>
      </c>
      <c r="C85" s="17" t="inlineStr">
        <is>
          <t>Melissa Lackey Oremus</t>
        </is>
      </c>
      <c r="D85" s="17" t="inlineStr">
        <is>
          <t>Republican</t>
        </is>
      </c>
      <c r="E85" s="21">
        <f>COUNTIFS(Candidates!$C:$C,$A85,Candidates!$L:$L,"D")</f>
        <v/>
      </c>
      <c r="F85" s="21">
        <f>COUNTIFS(Candidates!$C:$C,$A85,Candidates!$L:$L,"R")</f>
        <v/>
      </c>
      <c r="G85" s="21">
        <f>COUNTIFS(Candidates!$C:$C,$A85,Candidates!$L:$L,"I")+COUNTIFS(Candidates!$C:$C,$A85,Candidates!$L:$L,"O")</f>
        <v/>
      </c>
      <c r="H85" s="17" t="n"/>
      <c r="I85" s="17" t="n"/>
      <c r="J85" s="21">
        <f>COUNTIFS(Candidates!$C:$C,$A85,Candidates!$H:$H,"UNKNOWN")+COUNTIFS(Candidates!$C:$C,$A85,Candidates!$H:$H,"LOW")</f>
        <v/>
      </c>
      <c r="K85" s="17" t="n"/>
    </row>
    <row r="86">
      <c r="A86" s="16" t="inlineStr">
        <is>
          <t>SC-House-085</t>
        </is>
      </c>
      <c r="B86" s="16" t="inlineStr">
        <is>
          <t>SC House District 85</t>
        </is>
      </c>
      <c r="C86" s="16" t="inlineStr">
        <is>
          <t>John Gregory "Jay" Kilmartin</t>
        </is>
      </c>
      <c r="D86" s="16" t="inlineStr">
        <is>
          <t>Republican</t>
        </is>
      </c>
      <c r="E86" s="21">
        <f>COUNTIFS(Candidates!$C:$C,$A86,Candidates!$L:$L,"D")</f>
        <v/>
      </c>
      <c r="F86" s="21">
        <f>COUNTIFS(Candidates!$C:$C,$A86,Candidates!$L:$L,"R")</f>
        <v/>
      </c>
      <c r="G86" s="21">
        <f>COUNTIFS(Candidates!$C:$C,$A86,Candidates!$L:$L,"I")+COUNTIFS(Candidates!$C:$C,$A86,Candidates!$L:$L,"O")</f>
        <v/>
      </c>
      <c r="H86" s="16" t="n"/>
      <c r="I86" s="16" t="n"/>
      <c r="J86" s="21">
        <f>COUNTIFS(Candidates!$C:$C,$A86,Candidates!$H:$H,"UNKNOWN")+COUNTIFS(Candidates!$C:$C,$A86,Candidates!$H:$H,"LOW")</f>
        <v/>
      </c>
      <c r="K86" s="16" t="n"/>
    </row>
    <row r="87">
      <c r="A87" s="17" t="inlineStr">
        <is>
          <t>SC-House-086</t>
        </is>
      </c>
      <c r="B87" s="17" t="inlineStr">
        <is>
          <t>SC House District 86</t>
        </is>
      </c>
      <c r="C87" s="17" t="inlineStr">
        <is>
          <t>Bill Taylor</t>
        </is>
      </c>
      <c r="D87" s="17" t="inlineStr">
        <is>
          <t>Republican</t>
        </is>
      </c>
      <c r="E87" s="21">
        <f>COUNTIFS(Candidates!$C:$C,$A87,Candidates!$L:$L,"D")</f>
        <v/>
      </c>
      <c r="F87" s="21">
        <f>COUNTIFS(Candidates!$C:$C,$A87,Candidates!$L:$L,"R")</f>
        <v/>
      </c>
      <c r="G87" s="21">
        <f>COUNTIFS(Candidates!$C:$C,$A87,Candidates!$L:$L,"I")+COUNTIFS(Candidates!$C:$C,$A87,Candidates!$L:$L,"O")</f>
        <v/>
      </c>
      <c r="H87" s="17" t="n"/>
      <c r="I87" s="17" t="n"/>
      <c r="J87" s="21">
        <f>COUNTIFS(Candidates!$C:$C,$A87,Candidates!$H:$H,"UNKNOWN")+COUNTIFS(Candidates!$C:$C,$A87,Candidates!$H:$H,"LOW")</f>
        <v/>
      </c>
      <c r="K87" s="17" t="n"/>
    </row>
    <row r="88">
      <c r="A88" s="16" t="inlineStr">
        <is>
          <t>SC-House-087</t>
        </is>
      </c>
      <c r="B88" s="16" t="inlineStr">
        <is>
          <t>SC House District 87</t>
        </is>
      </c>
      <c r="C88" s="16" t="inlineStr">
        <is>
          <t>Paula Rawl Calhoon</t>
        </is>
      </c>
      <c r="D88" s="16" t="inlineStr">
        <is>
          <t>Republican</t>
        </is>
      </c>
      <c r="E88" s="21">
        <f>COUNTIFS(Candidates!$C:$C,$A88,Candidates!$L:$L,"D")</f>
        <v/>
      </c>
      <c r="F88" s="21">
        <f>COUNTIFS(Candidates!$C:$C,$A88,Candidates!$L:$L,"R")</f>
        <v/>
      </c>
      <c r="G88" s="21">
        <f>COUNTIFS(Candidates!$C:$C,$A88,Candidates!$L:$L,"I")+COUNTIFS(Candidates!$C:$C,$A88,Candidates!$L:$L,"O")</f>
        <v/>
      </c>
      <c r="H88" s="16" t="n"/>
      <c r="I88" s="16" t="n"/>
      <c r="J88" s="21">
        <f>COUNTIFS(Candidates!$C:$C,$A88,Candidates!$H:$H,"UNKNOWN")+COUNTIFS(Candidates!$C:$C,$A88,Candidates!$H:$H,"LOW")</f>
        <v/>
      </c>
      <c r="K88" s="16" t="n"/>
    </row>
    <row r="89">
      <c r="A89" s="17" t="inlineStr">
        <is>
          <t>SC-House-088</t>
        </is>
      </c>
      <c r="B89" s="17" t="inlineStr">
        <is>
          <t>SC House District 88</t>
        </is>
      </c>
      <c r="C89" s="17" t="inlineStr">
        <is>
          <t>John Lastinger</t>
        </is>
      </c>
      <c r="D89" s="17" t="inlineStr">
        <is>
          <t>Republican</t>
        </is>
      </c>
      <c r="E89" s="21">
        <f>COUNTIFS(Candidates!$C:$C,$A89,Candidates!$L:$L,"D")</f>
        <v/>
      </c>
      <c r="F89" s="21">
        <f>COUNTIFS(Candidates!$C:$C,$A89,Candidates!$L:$L,"R")</f>
        <v/>
      </c>
      <c r="G89" s="21">
        <f>COUNTIFS(Candidates!$C:$C,$A89,Candidates!$L:$L,"I")+COUNTIFS(Candidates!$C:$C,$A89,Candidates!$L:$L,"O")</f>
        <v/>
      </c>
      <c r="H89" s="17" t="n"/>
      <c r="I89" s="17" t="n"/>
      <c r="J89" s="21">
        <f>COUNTIFS(Candidates!$C:$C,$A89,Candidates!$H:$H,"UNKNOWN")+COUNTIFS(Candidates!$C:$C,$A89,Candidates!$H:$H,"LOW")</f>
        <v/>
      </c>
      <c r="K89" s="17" t="n"/>
    </row>
    <row r="90">
      <c r="A90" s="16" t="inlineStr">
        <is>
          <t>SC-House-089</t>
        </is>
      </c>
      <c r="B90" s="16" t="inlineStr">
        <is>
          <t>SC House District 89</t>
        </is>
      </c>
      <c r="C90" s="16" t="inlineStr">
        <is>
          <t>Micajah P. "Micah" Caskey IV</t>
        </is>
      </c>
      <c r="D90" s="16" t="inlineStr">
        <is>
          <t>Republican</t>
        </is>
      </c>
      <c r="E90" s="21">
        <f>COUNTIFS(Candidates!$C:$C,$A90,Candidates!$L:$L,"D")</f>
        <v/>
      </c>
      <c r="F90" s="21">
        <f>COUNTIFS(Candidates!$C:$C,$A90,Candidates!$L:$L,"R")</f>
        <v/>
      </c>
      <c r="G90" s="21">
        <f>COUNTIFS(Candidates!$C:$C,$A90,Candidates!$L:$L,"I")+COUNTIFS(Candidates!$C:$C,$A90,Candidates!$L:$L,"O")</f>
        <v/>
      </c>
      <c r="H90" s="16" t="n"/>
      <c r="I90" s="16" t="n"/>
      <c r="J90" s="21">
        <f>COUNTIFS(Candidates!$C:$C,$A90,Candidates!$H:$H,"UNKNOWN")+COUNTIFS(Candidates!$C:$C,$A90,Candidates!$H:$H,"LOW")</f>
        <v/>
      </c>
      <c r="K90" s="16" t="n"/>
    </row>
    <row r="91">
      <c r="A91" s="17" t="inlineStr">
        <is>
          <t>SC-House-090</t>
        </is>
      </c>
      <c r="B91" s="17" t="inlineStr">
        <is>
          <t>SC House District 90</t>
        </is>
      </c>
      <c r="C91" s="17" t="inlineStr">
        <is>
          <t>Justin T. Bamberg</t>
        </is>
      </c>
      <c r="D91" s="17" t="inlineStr">
        <is>
          <t>Democratic</t>
        </is>
      </c>
      <c r="E91" s="21">
        <f>COUNTIFS(Candidates!$C:$C,$A91,Candidates!$L:$L,"D")</f>
        <v/>
      </c>
      <c r="F91" s="21">
        <f>COUNTIFS(Candidates!$C:$C,$A91,Candidates!$L:$L,"R")</f>
        <v/>
      </c>
      <c r="G91" s="21">
        <f>COUNTIFS(Candidates!$C:$C,$A91,Candidates!$L:$L,"I")+COUNTIFS(Candidates!$C:$C,$A91,Candidates!$L:$L,"O")</f>
        <v/>
      </c>
      <c r="H91" s="17" t="n"/>
      <c r="I91" s="17" t="n"/>
      <c r="J91" s="21">
        <f>COUNTIFS(Candidates!$C:$C,$A91,Candidates!$H:$H,"UNKNOWN")+COUNTIFS(Candidates!$C:$C,$A91,Candidates!$H:$H,"LOW")</f>
        <v/>
      </c>
      <c r="K91" s="17" t="n"/>
    </row>
    <row r="92">
      <c r="A92" s="16" t="inlineStr">
        <is>
          <t>SC-House-091</t>
        </is>
      </c>
      <c r="B92" s="16" t="inlineStr">
        <is>
          <t>SC House District 91</t>
        </is>
      </c>
      <c r="C92" s="16" t="inlineStr">
        <is>
          <t>Lonnie Hosey</t>
        </is>
      </c>
      <c r="D92" s="16" t="inlineStr">
        <is>
          <t>Democratic</t>
        </is>
      </c>
      <c r="E92" s="21">
        <f>COUNTIFS(Candidates!$C:$C,$A92,Candidates!$L:$L,"D")</f>
        <v/>
      </c>
      <c r="F92" s="21">
        <f>COUNTIFS(Candidates!$C:$C,$A92,Candidates!$L:$L,"R")</f>
        <v/>
      </c>
      <c r="G92" s="21">
        <f>COUNTIFS(Candidates!$C:$C,$A92,Candidates!$L:$L,"I")+COUNTIFS(Candidates!$C:$C,$A92,Candidates!$L:$L,"O")</f>
        <v/>
      </c>
      <c r="H92" s="16" t="n"/>
      <c r="I92" s="16" t="n"/>
      <c r="J92" s="21">
        <f>COUNTIFS(Candidates!$C:$C,$A92,Candidates!$H:$H,"UNKNOWN")+COUNTIFS(Candidates!$C:$C,$A92,Candidates!$H:$H,"LOW")</f>
        <v/>
      </c>
      <c r="K92" s="16" t="n"/>
    </row>
    <row r="93">
      <c r="A93" s="17" t="inlineStr">
        <is>
          <t>SC-House-092</t>
        </is>
      </c>
      <c r="B93" s="17" t="inlineStr">
        <is>
          <t>SC House District 92</t>
        </is>
      </c>
      <c r="C93" s="17" t="inlineStr">
        <is>
          <t>Brandon L. Cox</t>
        </is>
      </c>
      <c r="D93" s="17" t="inlineStr">
        <is>
          <t>Republican</t>
        </is>
      </c>
      <c r="E93" s="21">
        <f>COUNTIFS(Candidates!$C:$C,$A93,Candidates!$L:$L,"D")</f>
        <v/>
      </c>
      <c r="F93" s="21">
        <f>COUNTIFS(Candidates!$C:$C,$A93,Candidates!$L:$L,"R")</f>
        <v/>
      </c>
      <c r="G93" s="21">
        <f>COUNTIFS(Candidates!$C:$C,$A93,Candidates!$L:$L,"I")+COUNTIFS(Candidates!$C:$C,$A93,Candidates!$L:$L,"O")</f>
        <v/>
      </c>
      <c r="H93" s="17" t="n"/>
      <c r="I93" s="17" t="n"/>
      <c r="J93" s="21">
        <f>COUNTIFS(Candidates!$C:$C,$A93,Candidates!$H:$H,"UNKNOWN")+COUNTIFS(Candidates!$C:$C,$A93,Candidates!$H:$H,"LOW")</f>
        <v/>
      </c>
      <c r="K93" s="17" t="n"/>
    </row>
    <row r="94">
      <c r="A94" s="16" t="inlineStr">
        <is>
          <t>SC-House-093</t>
        </is>
      </c>
      <c r="B94" s="16" t="inlineStr">
        <is>
          <t>SC House District 93</t>
        </is>
      </c>
      <c r="C94" s="16" t="inlineStr">
        <is>
          <t>Jerry N. Govan, Jr.</t>
        </is>
      </c>
      <c r="D94" s="16" t="inlineStr">
        <is>
          <t>Democratic</t>
        </is>
      </c>
      <c r="E94" s="21">
        <f>COUNTIFS(Candidates!$C:$C,$A94,Candidates!$L:$L,"D")</f>
        <v/>
      </c>
      <c r="F94" s="21">
        <f>COUNTIFS(Candidates!$C:$C,$A94,Candidates!$L:$L,"R")</f>
        <v/>
      </c>
      <c r="G94" s="21">
        <f>COUNTIFS(Candidates!$C:$C,$A94,Candidates!$L:$L,"I")+COUNTIFS(Candidates!$C:$C,$A94,Candidates!$L:$L,"O")</f>
        <v/>
      </c>
      <c r="H94" s="16" t="n"/>
      <c r="I94" s="16" t="n"/>
      <c r="J94" s="21">
        <f>COUNTIFS(Candidates!$C:$C,$A94,Candidates!$H:$H,"UNKNOWN")+COUNTIFS(Candidates!$C:$C,$A94,Candidates!$H:$H,"LOW")</f>
        <v/>
      </c>
      <c r="K94" s="16" t="n"/>
    </row>
    <row r="95">
      <c r="A95" s="17" t="inlineStr">
        <is>
          <t>SC-House-094</t>
        </is>
      </c>
      <c r="B95" s="17" t="inlineStr">
        <is>
          <t>SC House District 94</t>
        </is>
      </c>
      <c r="C95" s="17" t="inlineStr">
        <is>
          <t>Gil Gatch</t>
        </is>
      </c>
      <c r="D95" s="17" t="inlineStr">
        <is>
          <t>Republican</t>
        </is>
      </c>
      <c r="E95" s="21">
        <f>COUNTIFS(Candidates!$C:$C,$A95,Candidates!$L:$L,"D")</f>
        <v/>
      </c>
      <c r="F95" s="21">
        <f>COUNTIFS(Candidates!$C:$C,$A95,Candidates!$L:$L,"R")</f>
        <v/>
      </c>
      <c r="G95" s="21">
        <f>COUNTIFS(Candidates!$C:$C,$A95,Candidates!$L:$L,"I")+COUNTIFS(Candidates!$C:$C,$A95,Candidates!$L:$L,"O")</f>
        <v/>
      </c>
      <c r="H95" s="17" t="n"/>
      <c r="I95" s="17" t="n"/>
      <c r="J95" s="21">
        <f>COUNTIFS(Candidates!$C:$C,$A95,Candidates!$H:$H,"UNKNOWN")+COUNTIFS(Candidates!$C:$C,$A95,Candidates!$H:$H,"LOW")</f>
        <v/>
      </c>
      <c r="K95" s="17" t="n"/>
    </row>
    <row r="96">
      <c r="A96" s="16" t="inlineStr">
        <is>
          <t>SC-House-095</t>
        </is>
      </c>
      <c r="B96" s="16" t="inlineStr">
        <is>
          <t>SC House District 95</t>
        </is>
      </c>
      <c r="C96" s="16" t="inlineStr">
        <is>
          <t>Gilda Cobb-Hunter</t>
        </is>
      </c>
      <c r="D96" s="16" t="inlineStr">
        <is>
          <t>Democratic</t>
        </is>
      </c>
      <c r="E96" s="21">
        <f>COUNTIFS(Candidates!$C:$C,$A96,Candidates!$L:$L,"D")</f>
        <v/>
      </c>
      <c r="F96" s="21">
        <f>COUNTIFS(Candidates!$C:$C,$A96,Candidates!$L:$L,"R")</f>
        <v/>
      </c>
      <c r="G96" s="21">
        <f>COUNTIFS(Candidates!$C:$C,$A96,Candidates!$L:$L,"I")+COUNTIFS(Candidates!$C:$C,$A96,Candidates!$L:$L,"O")</f>
        <v/>
      </c>
      <c r="H96" s="16" t="n"/>
      <c r="I96" s="16" t="n"/>
      <c r="J96" s="21">
        <f>COUNTIFS(Candidates!$C:$C,$A96,Candidates!$H:$H,"UNKNOWN")+COUNTIFS(Candidates!$C:$C,$A96,Candidates!$H:$H,"LOW")</f>
        <v/>
      </c>
      <c r="K96" s="16" t="n"/>
    </row>
    <row r="97">
      <c r="A97" s="17" t="inlineStr">
        <is>
          <t>SC-House-096</t>
        </is>
      </c>
      <c r="B97" s="17" t="inlineStr">
        <is>
          <t>SC House District 96</t>
        </is>
      </c>
      <c r="C97" s="17" t="inlineStr">
        <is>
          <t>Donald Ryan McCabe, Jr.</t>
        </is>
      </c>
      <c r="D97" s="17" t="inlineStr">
        <is>
          <t>Republican</t>
        </is>
      </c>
      <c r="E97" s="21">
        <f>COUNTIFS(Candidates!$C:$C,$A97,Candidates!$L:$L,"D")</f>
        <v/>
      </c>
      <c r="F97" s="21">
        <f>COUNTIFS(Candidates!$C:$C,$A97,Candidates!$L:$L,"R")</f>
        <v/>
      </c>
      <c r="G97" s="21">
        <f>COUNTIFS(Candidates!$C:$C,$A97,Candidates!$L:$L,"I")+COUNTIFS(Candidates!$C:$C,$A97,Candidates!$L:$L,"O")</f>
        <v/>
      </c>
      <c r="H97" s="17" t="n"/>
      <c r="I97" s="17" t="n"/>
      <c r="J97" s="21">
        <f>COUNTIFS(Candidates!$C:$C,$A97,Candidates!$H:$H,"UNKNOWN")+COUNTIFS(Candidates!$C:$C,$A97,Candidates!$H:$H,"LOW")</f>
        <v/>
      </c>
      <c r="K97" s="17" t="n"/>
    </row>
    <row r="98">
      <c r="A98" s="16" t="inlineStr">
        <is>
          <t>SC-House-097</t>
        </is>
      </c>
      <c r="B98" s="16" t="inlineStr">
        <is>
          <t>SC House District 97</t>
        </is>
      </c>
      <c r="C98" s="16" t="inlineStr">
        <is>
          <t>Robby Robbins</t>
        </is>
      </c>
      <c r="D98" s="16" t="inlineStr">
        <is>
          <t>Republican</t>
        </is>
      </c>
      <c r="E98" s="21">
        <f>COUNTIFS(Candidates!$C:$C,$A98,Candidates!$L:$L,"D")</f>
        <v/>
      </c>
      <c r="F98" s="21">
        <f>COUNTIFS(Candidates!$C:$C,$A98,Candidates!$L:$L,"R")</f>
        <v/>
      </c>
      <c r="G98" s="21">
        <f>COUNTIFS(Candidates!$C:$C,$A98,Candidates!$L:$L,"I")+COUNTIFS(Candidates!$C:$C,$A98,Candidates!$L:$L,"O")</f>
        <v/>
      </c>
      <c r="H98" s="16" t="n"/>
      <c r="I98" s="16" t="n"/>
      <c r="J98" s="21">
        <f>COUNTIFS(Candidates!$C:$C,$A98,Candidates!$H:$H,"UNKNOWN")+COUNTIFS(Candidates!$C:$C,$A98,Candidates!$H:$H,"LOW")</f>
        <v/>
      </c>
      <c r="K98" s="16" t="n"/>
    </row>
    <row r="99">
      <c r="A99" s="17" t="inlineStr">
        <is>
          <t>SC-House-098</t>
        </is>
      </c>
      <c r="B99" s="17" t="inlineStr">
        <is>
          <t>SC House District 98</t>
        </is>
      </c>
      <c r="C99" s="17" t="inlineStr"/>
      <c r="D99" s="17" t="inlineStr"/>
      <c r="E99" s="21">
        <f>COUNTIFS(Candidates!$C:$C,$A99,Candidates!$L:$L,"D")</f>
        <v/>
      </c>
      <c r="F99" s="21">
        <f>COUNTIFS(Candidates!$C:$C,$A99,Candidates!$L:$L,"R")</f>
        <v/>
      </c>
      <c r="G99" s="21">
        <f>COUNTIFS(Candidates!$C:$C,$A99,Candidates!$L:$L,"I")+COUNTIFS(Candidates!$C:$C,$A99,Candidates!$L:$L,"O")</f>
        <v/>
      </c>
      <c r="H99" s="17" t="n"/>
      <c r="I99" s="17" t="n"/>
      <c r="J99" s="21">
        <f>COUNTIFS(Candidates!$C:$C,$A99,Candidates!$H:$H,"UNKNOWN")+COUNTIFS(Candidates!$C:$C,$A99,Candidates!$H:$H,"LOW")</f>
        <v/>
      </c>
      <c r="K99" s="17" t="n"/>
    </row>
    <row r="100">
      <c r="A100" s="16" t="inlineStr">
        <is>
          <t>SC-House-099</t>
        </is>
      </c>
      <c r="B100" s="16" t="inlineStr">
        <is>
          <t>SC House District 99</t>
        </is>
      </c>
      <c r="C100" s="16" t="inlineStr">
        <is>
          <t>Marvin "Mark" Smith</t>
        </is>
      </c>
      <c r="D100" s="16" t="inlineStr">
        <is>
          <t>Republican</t>
        </is>
      </c>
      <c r="E100" s="21">
        <f>COUNTIFS(Candidates!$C:$C,$A100,Candidates!$L:$L,"D")</f>
        <v/>
      </c>
      <c r="F100" s="21">
        <f>COUNTIFS(Candidates!$C:$C,$A100,Candidates!$L:$L,"R")</f>
        <v/>
      </c>
      <c r="G100" s="21">
        <f>COUNTIFS(Candidates!$C:$C,$A100,Candidates!$L:$L,"I")+COUNTIFS(Candidates!$C:$C,$A100,Candidates!$L:$L,"O")</f>
        <v/>
      </c>
      <c r="H100" s="16" t="n"/>
      <c r="I100" s="16" t="n"/>
      <c r="J100" s="21">
        <f>COUNTIFS(Candidates!$C:$C,$A100,Candidates!$H:$H,"UNKNOWN")+COUNTIFS(Candidates!$C:$C,$A100,Candidates!$H:$H,"LOW")</f>
        <v/>
      </c>
      <c r="K100" s="16" t="n"/>
    </row>
    <row r="101">
      <c r="A101" s="17" t="inlineStr">
        <is>
          <t>SC-House-100</t>
        </is>
      </c>
      <c r="B101" s="17" t="inlineStr">
        <is>
          <t>SC House District 100</t>
        </is>
      </c>
      <c r="C101" s="17" t="inlineStr">
        <is>
          <t>Sylleste H. Davis</t>
        </is>
      </c>
      <c r="D101" s="17" t="inlineStr">
        <is>
          <t>Republican</t>
        </is>
      </c>
      <c r="E101" s="21">
        <f>COUNTIFS(Candidates!$C:$C,$A101,Candidates!$L:$L,"D")</f>
        <v/>
      </c>
      <c r="F101" s="21">
        <f>COUNTIFS(Candidates!$C:$C,$A101,Candidates!$L:$L,"R")</f>
        <v/>
      </c>
      <c r="G101" s="21">
        <f>COUNTIFS(Candidates!$C:$C,$A101,Candidates!$L:$L,"I")+COUNTIFS(Candidates!$C:$C,$A101,Candidates!$L:$L,"O")</f>
        <v/>
      </c>
      <c r="H101" s="17" t="n"/>
      <c r="I101" s="17" t="n"/>
      <c r="J101" s="21">
        <f>COUNTIFS(Candidates!$C:$C,$A101,Candidates!$H:$H,"UNKNOWN")+COUNTIFS(Candidates!$C:$C,$A101,Candidates!$H:$H,"LOW")</f>
        <v/>
      </c>
      <c r="K101" s="17" t="n"/>
    </row>
    <row r="102">
      <c r="A102" s="16" t="inlineStr">
        <is>
          <t>SC-House-101</t>
        </is>
      </c>
      <c r="B102" s="16" t="inlineStr">
        <is>
          <t>SC House District 101</t>
        </is>
      </c>
      <c r="C102" s="16" t="inlineStr">
        <is>
          <t>Roger K. Kirby</t>
        </is>
      </c>
      <c r="D102" s="16" t="inlineStr">
        <is>
          <t>Democratic</t>
        </is>
      </c>
      <c r="E102" s="21">
        <f>COUNTIFS(Candidates!$C:$C,$A102,Candidates!$L:$L,"D")</f>
        <v/>
      </c>
      <c r="F102" s="21">
        <f>COUNTIFS(Candidates!$C:$C,$A102,Candidates!$L:$L,"R")</f>
        <v/>
      </c>
      <c r="G102" s="21">
        <f>COUNTIFS(Candidates!$C:$C,$A102,Candidates!$L:$L,"I")+COUNTIFS(Candidates!$C:$C,$A102,Candidates!$L:$L,"O")</f>
        <v/>
      </c>
      <c r="H102" s="16" t="n"/>
      <c r="I102" s="16" t="n"/>
      <c r="J102" s="21">
        <f>COUNTIFS(Candidates!$C:$C,$A102,Candidates!$H:$H,"UNKNOWN")+COUNTIFS(Candidates!$C:$C,$A102,Candidates!$H:$H,"LOW")</f>
        <v/>
      </c>
      <c r="K102" s="16" t="n"/>
    </row>
    <row r="103">
      <c r="A103" s="17" t="inlineStr">
        <is>
          <t>SC-House-102</t>
        </is>
      </c>
      <c r="B103" s="17" t="inlineStr">
        <is>
          <t>SC House District 102</t>
        </is>
      </c>
      <c r="C103" s="17" t="inlineStr">
        <is>
          <t>Harriet A. Holman</t>
        </is>
      </c>
      <c r="D103" s="17" t="inlineStr">
        <is>
          <t>Republican</t>
        </is>
      </c>
      <c r="E103" s="21">
        <f>COUNTIFS(Candidates!$C:$C,$A103,Candidates!$L:$L,"D")</f>
        <v/>
      </c>
      <c r="F103" s="21">
        <f>COUNTIFS(Candidates!$C:$C,$A103,Candidates!$L:$L,"R")</f>
        <v/>
      </c>
      <c r="G103" s="21">
        <f>COUNTIFS(Candidates!$C:$C,$A103,Candidates!$L:$L,"I")+COUNTIFS(Candidates!$C:$C,$A103,Candidates!$L:$L,"O")</f>
        <v/>
      </c>
      <c r="H103" s="17" t="n"/>
      <c r="I103" s="17" t="n"/>
      <c r="J103" s="21">
        <f>COUNTIFS(Candidates!$C:$C,$A103,Candidates!$H:$H,"UNKNOWN")+COUNTIFS(Candidates!$C:$C,$A103,Candidates!$H:$H,"LOW")</f>
        <v/>
      </c>
      <c r="K103" s="17" t="n"/>
    </row>
    <row r="104">
      <c r="A104" s="16" t="inlineStr">
        <is>
          <t>SC-House-103</t>
        </is>
      </c>
      <c r="B104" s="16" t="inlineStr">
        <is>
          <t>SC House District 103</t>
        </is>
      </c>
      <c r="C104" s="16" t="inlineStr">
        <is>
          <t>Carl L. Anderson</t>
        </is>
      </c>
      <c r="D104" s="16" t="inlineStr">
        <is>
          <t>Democratic</t>
        </is>
      </c>
      <c r="E104" s="21">
        <f>COUNTIFS(Candidates!$C:$C,$A104,Candidates!$L:$L,"D")</f>
        <v/>
      </c>
      <c r="F104" s="21">
        <f>COUNTIFS(Candidates!$C:$C,$A104,Candidates!$L:$L,"R")</f>
        <v/>
      </c>
      <c r="G104" s="21">
        <f>COUNTIFS(Candidates!$C:$C,$A104,Candidates!$L:$L,"I")+COUNTIFS(Candidates!$C:$C,$A104,Candidates!$L:$L,"O")</f>
        <v/>
      </c>
      <c r="H104" s="16" t="n"/>
      <c r="I104" s="16" t="n"/>
      <c r="J104" s="21">
        <f>COUNTIFS(Candidates!$C:$C,$A104,Candidates!$H:$H,"UNKNOWN")+COUNTIFS(Candidates!$C:$C,$A104,Candidates!$H:$H,"LOW")</f>
        <v/>
      </c>
      <c r="K104" s="16" t="n"/>
    </row>
    <row r="105">
      <c r="A105" s="17" t="inlineStr">
        <is>
          <t>SC-House-104</t>
        </is>
      </c>
      <c r="B105" s="17" t="inlineStr">
        <is>
          <t>SC House District 104</t>
        </is>
      </c>
      <c r="C105" s="17" t="inlineStr">
        <is>
          <t>William H. Bailey</t>
        </is>
      </c>
      <c r="D105" s="17" t="inlineStr">
        <is>
          <t>Republican</t>
        </is>
      </c>
      <c r="E105" s="21">
        <f>COUNTIFS(Candidates!$C:$C,$A105,Candidates!$L:$L,"D")</f>
        <v/>
      </c>
      <c r="F105" s="21">
        <f>COUNTIFS(Candidates!$C:$C,$A105,Candidates!$L:$L,"R")</f>
        <v/>
      </c>
      <c r="G105" s="21">
        <f>COUNTIFS(Candidates!$C:$C,$A105,Candidates!$L:$L,"I")+COUNTIFS(Candidates!$C:$C,$A105,Candidates!$L:$L,"O")</f>
        <v/>
      </c>
      <c r="H105" s="17" t="n"/>
      <c r="I105" s="17" t="n"/>
      <c r="J105" s="21">
        <f>COUNTIFS(Candidates!$C:$C,$A105,Candidates!$H:$H,"UNKNOWN")+COUNTIFS(Candidates!$C:$C,$A105,Candidates!$H:$H,"LOW")</f>
        <v/>
      </c>
      <c r="K105" s="17" t="n"/>
    </row>
    <row r="106">
      <c r="A106" s="16" t="inlineStr">
        <is>
          <t>SC-House-105</t>
        </is>
      </c>
      <c r="B106" s="16" t="inlineStr">
        <is>
          <t>SC House District 105</t>
        </is>
      </c>
      <c r="C106" s="16" t="inlineStr">
        <is>
          <t>Kevin Hardee</t>
        </is>
      </c>
      <c r="D106" s="16" t="inlineStr">
        <is>
          <t>Republican</t>
        </is>
      </c>
      <c r="E106" s="21">
        <f>COUNTIFS(Candidates!$C:$C,$A106,Candidates!$L:$L,"D")</f>
        <v/>
      </c>
      <c r="F106" s="21">
        <f>COUNTIFS(Candidates!$C:$C,$A106,Candidates!$L:$L,"R")</f>
        <v/>
      </c>
      <c r="G106" s="21">
        <f>COUNTIFS(Candidates!$C:$C,$A106,Candidates!$L:$L,"I")+COUNTIFS(Candidates!$C:$C,$A106,Candidates!$L:$L,"O")</f>
        <v/>
      </c>
      <c r="H106" s="16" t="n"/>
      <c r="I106" s="16" t="n"/>
      <c r="J106" s="21">
        <f>COUNTIFS(Candidates!$C:$C,$A106,Candidates!$H:$H,"UNKNOWN")+COUNTIFS(Candidates!$C:$C,$A106,Candidates!$H:$H,"LOW")</f>
        <v/>
      </c>
      <c r="K106" s="16" t="n"/>
    </row>
    <row r="107">
      <c r="A107" s="17" t="inlineStr">
        <is>
          <t>SC-House-106</t>
        </is>
      </c>
      <c r="B107" s="17" t="inlineStr">
        <is>
          <t>SC House District 106</t>
        </is>
      </c>
      <c r="C107" s="17" t="inlineStr">
        <is>
          <t>Thomas Duval "Val" Guest, Jr.</t>
        </is>
      </c>
      <c r="D107" s="17" t="inlineStr">
        <is>
          <t>Republican</t>
        </is>
      </c>
      <c r="E107" s="21">
        <f>COUNTIFS(Candidates!$C:$C,$A107,Candidates!$L:$L,"D")</f>
        <v/>
      </c>
      <c r="F107" s="21">
        <f>COUNTIFS(Candidates!$C:$C,$A107,Candidates!$L:$L,"R")</f>
        <v/>
      </c>
      <c r="G107" s="21">
        <f>COUNTIFS(Candidates!$C:$C,$A107,Candidates!$L:$L,"I")+COUNTIFS(Candidates!$C:$C,$A107,Candidates!$L:$L,"O")</f>
        <v/>
      </c>
      <c r="H107" s="17" t="n"/>
      <c r="I107" s="17" t="n"/>
      <c r="J107" s="21">
        <f>COUNTIFS(Candidates!$C:$C,$A107,Candidates!$H:$H,"UNKNOWN")+COUNTIFS(Candidates!$C:$C,$A107,Candidates!$H:$H,"LOW")</f>
        <v/>
      </c>
      <c r="K107" s="17" t="n"/>
    </row>
    <row r="108">
      <c r="A108" s="16" t="inlineStr">
        <is>
          <t>SC-House-107</t>
        </is>
      </c>
      <c r="B108" s="16" t="inlineStr">
        <is>
          <t>SC House District 107</t>
        </is>
      </c>
      <c r="C108" s="16" t="inlineStr">
        <is>
          <t>Thomas C. "Case" Brittain, Jr.</t>
        </is>
      </c>
      <c r="D108" s="16" t="inlineStr">
        <is>
          <t>Republican</t>
        </is>
      </c>
      <c r="E108" s="21">
        <f>COUNTIFS(Candidates!$C:$C,$A108,Candidates!$L:$L,"D")</f>
        <v/>
      </c>
      <c r="F108" s="21">
        <f>COUNTIFS(Candidates!$C:$C,$A108,Candidates!$L:$L,"R")</f>
        <v/>
      </c>
      <c r="G108" s="21">
        <f>COUNTIFS(Candidates!$C:$C,$A108,Candidates!$L:$L,"I")+COUNTIFS(Candidates!$C:$C,$A108,Candidates!$L:$L,"O")</f>
        <v/>
      </c>
      <c r="H108" s="16" t="n"/>
      <c r="I108" s="16" t="n"/>
      <c r="J108" s="21">
        <f>COUNTIFS(Candidates!$C:$C,$A108,Candidates!$H:$H,"UNKNOWN")+COUNTIFS(Candidates!$C:$C,$A108,Candidates!$H:$H,"LOW")</f>
        <v/>
      </c>
      <c r="K108" s="16" t="n"/>
    </row>
    <row r="109">
      <c r="A109" s="17" t="inlineStr">
        <is>
          <t>SC-House-108</t>
        </is>
      </c>
      <c r="B109" s="17" t="inlineStr">
        <is>
          <t>SC House District 108</t>
        </is>
      </c>
      <c r="C109" s="17" t="inlineStr">
        <is>
          <t>Lee Hewitt</t>
        </is>
      </c>
      <c r="D109" s="17" t="inlineStr">
        <is>
          <t>Republican</t>
        </is>
      </c>
      <c r="E109" s="21">
        <f>COUNTIFS(Candidates!$C:$C,$A109,Candidates!$L:$L,"D")</f>
        <v/>
      </c>
      <c r="F109" s="21">
        <f>COUNTIFS(Candidates!$C:$C,$A109,Candidates!$L:$L,"R")</f>
        <v/>
      </c>
      <c r="G109" s="21">
        <f>COUNTIFS(Candidates!$C:$C,$A109,Candidates!$L:$L,"I")+COUNTIFS(Candidates!$C:$C,$A109,Candidates!$L:$L,"O")</f>
        <v/>
      </c>
      <c r="H109" s="17" t="n"/>
      <c r="I109" s="17" t="n"/>
      <c r="J109" s="21">
        <f>COUNTIFS(Candidates!$C:$C,$A109,Candidates!$H:$H,"UNKNOWN")+COUNTIFS(Candidates!$C:$C,$A109,Candidates!$H:$H,"LOW")</f>
        <v/>
      </c>
      <c r="K109" s="17" t="n"/>
    </row>
    <row r="110">
      <c r="A110" s="16" t="inlineStr">
        <is>
          <t>SC-House-109</t>
        </is>
      </c>
      <c r="B110" s="16" t="inlineStr">
        <is>
          <t>SC House District 109</t>
        </is>
      </c>
      <c r="C110" s="16" t="inlineStr">
        <is>
          <t>Tiffany Spann-Wilder</t>
        </is>
      </c>
      <c r="D110" s="16" t="inlineStr">
        <is>
          <t>Democratic</t>
        </is>
      </c>
      <c r="E110" s="21">
        <f>COUNTIFS(Candidates!$C:$C,$A110,Candidates!$L:$L,"D")</f>
        <v/>
      </c>
      <c r="F110" s="21">
        <f>COUNTIFS(Candidates!$C:$C,$A110,Candidates!$L:$L,"R")</f>
        <v/>
      </c>
      <c r="G110" s="21">
        <f>COUNTIFS(Candidates!$C:$C,$A110,Candidates!$L:$L,"I")+COUNTIFS(Candidates!$C:$C,$A110,Candidates!$L:$L,"O")</f>
        <v/>
      </c>
      <c r="H110" s="16" t="n"/>
      <c r="I110" s="16" t="n"/>
      <c r="J110" s="21">
        <f>COUNTIFS(Candidates!$C:$C,$A110,Candidates!$H:$H,"UNKNOWN")+COUNTIFS(Candidates!$C:$C,$A110,Candidates!$H:$H,"LOW")</f>
        <v/>
      </c>
      <c r="K110" s="16" t="n"/>
    </row>
    <row r="111">
      <c r="A111" s="17" t="inlineStr">
        <is>
          <t>SC-House-110</t>
        </is>
      </c>
      <c r="B111" s="17" t="inlineStr">
        <is>
          <t>SC House District 110</t>
        </is>
      </c>
      <c r="C111" s="17" t="inlineStr">
        <is>
          <t>Thomas F. "Tom" Hartnett, Jr.</t>
        </is>
      </c>
      <c r="D111" s="17" t="inlineStr">
        <is>
          <t>Republican</t>
        </is>
      </c>
      <c r="E111" s="21">
        <f>COUNTIFS(Candidates!$C:$C,$A111,Candidates!$L:$L,"D")</f>
        <v/>
      </c>
      <c r="F111" s="21">
        <f>COUNTIFS(Candidates!$C:$C,$A111,Candidates!$L:$L,"R")</f>
        <v/>
      </c>
      <c r="G111" s="21">
        <f>COUNTIFS(Candidates!$C:$C,$A111,Candidates!$L:$L,"I")+COUNTIFS(Candidates!$C:$C,$A111,Candidates!$L:$L,"O")</f>
        <v/>
      </c>
      <c r="H111" s="17" t="n"/>
      <c r="I111" s="17" t="n"/>
      <c r="J111" s="21">
        <f>COUNTIFS(Candidates!$C:$C,$A111,Candidates!$H:$H,"UNKNOWN")+COUNTIFS(Candidates!$C:$C,$A111,Candidates!$H:$H,"LOW")</f>
        <v/>
      </c>
      <c r="K111" s="17" t="n"/>
    </row>
    <row r="112">
      <c r="A112" s="16" t="inlineStr">
        <is>
          <t>SC-House-111</t>
        </is>
      </c>
      <c r="B112" s="16" t="inlineStr">
        <is>
          <t>SC House District 111</t>
        </is>
      </c>
      <c r="C112" s="16" t="inlineStr">
        <is>
          <t>Wendell G. Gilliard</t>
        </is>
      </c>
      <c r="D112" s="16" t="inlineStr">
        <is>
          <t>Democratic</t>
        </is>
      </c>
      <c r="E112" s="21">
        <f>COUNTIFS(Candidates!$C:$C,$A112,Candidates!$L:$L,"D")</f>
        <v/>
      </c>
      <c r="F112" s="21">
        <f>COUNTIFS(Candidates!$C:$C,$A112,Candidates!$L:$L,"R")</f>
        <v/>
      </c>
      <c r="G112" s="21">
        <f>COUNTIFS(Candidates!$C:$C,$A112,Candidates!$L:$L,"I")+COUNTIFS(Candidates!$C:$C,$A112,Candidates!$L:$L,"O")</f>
        <v/>
      </c>
      <c r="H112" s="16" t="n"/>
      <c r="I112" s="16" t="n"/>
      <c r="J112" s="21">
        <f>COUNTIFS(Candidates!$C:$C,$A112,Candidates!$H:$H,"UNKNOWN")+COUNTIFS(Candidates!$C:$C,$A112,Candidates!$H:$H,"LOW")</f>
        <v/>
      </c>
      <c r="K112" s="16" t="n"/>
    </row>
    <row r="113">
      <c r="A113" s="17" t="inlineStr">
        <is>
          <t>SC-House-112</t>
        </is>
      </c>
      <c r="B113" s="17" t="inlineStr">
        <is>
          <t>SC House District 112</t>
        </is>
      </c>
      <c r="C113" s="17" t="inlineStr">
        <is>
          <t>Joseph M. "Joe" Bustos</t>
        </is>
      </c>
      <c r="D113" s="17" t="inlineStr">
        <is>
          <t>Republican</t>
        </is>
      </c>
      <c r="E113" s="21">
        <f>COUNTIFS(Candidates!$C:$C,$A113,Candidates!$L:$L,"D")</f>
        <v/>
      </c>
      <c r="F113" s="21">
        <f>COUNTIFS(Candidates!$C:$C,$A113,Candidates!$L:$L,"R")</f>
        <v/>
      </c>
      <c r="G113" s="21">
        <f>COUNTIFS(Candidates!$C:$C,$A113,Candidates!$L:$L,"I")+COUNTIFS(Candidates!$C:$C,$A113,Candidates!$L:$L,"O")</f>
        <v/>
      </c>
      <c r="H113" s="17" t="n"/>
      <c r="I113" s="17" t="n"/>
      <c r="J113" s="21">
        <f>COUNTIFS(Candidates!$C:$C,$A113,Candidates!$H:$H,"UNKNOWN")+COUNTIFS(Candidates!$C:$C,$A113,Candidates!$H:$H,"LOW")</f>
        <v/>
      </c>
      <c r="K113" s="17" t="n"/>
    </row>
    <row r="114">
      <c r="A114" s="16" t="inlineStr">
        <is>
          <t>SC-House-113</t>
        </is>
      </c>
      <c r="B114" s="16" t="inlineStr">
        <is>
          <t>SC House District 113</t>
        </is>
      </c>
      <c r="C114" s="16" t="inlineStr">
        <is>
          <t>Courtney S. Waters</t>
        </is>
      </c>
      <c r="D114" s="16" t="inlineStr">
        <is>
          <t>Democratic</t>
        </is>
      </c>
      <c r="E114" s="21">
        <f>COUNTIFS(Candidates!$C:$C,$A114,Candidates!$L:$L,"D")</f>
        <v/>
      </c>
      <c r="F114" s="21">
        <f>COUNTIFS(Candidates!$C:$C,$A114,Candidates!$L:$L,"R")</f>
        <v/>
      </c>
      <c r="G114" s="21">
        <f>COUNTIFS(Candidates!$C:$C,$A114,Candidates!$L:$L,"I")+COUNTIFS(Candidates!$C:$C,$A114,Candidates!$L:$L,"O")</f>
        <v/>
      </c>
      <c r="H114" s="16" t="n"/>
      <c r="I114" s="16" t="n"/>
      <c r="J114" s="21">
        <f>COUNTIFS(Candidates!$C:$C,$A114,Candidates!$H:$H,"UNKNOWN")+COUNTIFS(Candidates!$C:$C,$A114,Candidates!$H:$H,"LOW")</f>
        <v/>
      </c>
      <c r="K114" s="16" t="n"/>
    </row>
    <row r="115">
      <c r="A115" s="17" t="inlineStr">
        <is>
          <t>SC-House-114</t>
        </is>
      </c>
      <c r="B115" s="17" t="inlineStr">
        <is>
          <t>SC House District 114</t>
        </is>
      </c>
      <c r="C115" s="17" t="inlineStr">
        <is>
          <t>Gary S. Brewer, Jr.</t>
        </is>
      </c>
      <c r="D115" s="17" t="inlineStr">
        <is>
          <t>Republican</t>
        </is>
      </c>
      <c r="E115" s="21">
        <f>COUNTIFS(Candidates!$C:$C,$A115,Candidates!$L:$L,"D")</f>
        <v/>
      </c>
      <c r="F115" s="21">
        <f>COUNTIFS(Candidates!$C:$C,$A115,Candidates!$L:$L,"R")</f>
        <v/>
      </c>
      <c r="G115" s="21">
        <f>COUNTIFS(Candidates!$C:$C,$A115,Candidates!$L:$L,"I")+COUNTIFS(Candidates!$C:$C,$A115,Candidates!$L:$L,"O")</f>
        <v/>
      </c>
      <c r="H115" s="17" t="n"/>
      <c r="I115" s="17" t="n"/>
      <c r="J115" s="21">
        <f>COUNTIFS(Candidates!$C:$C,$A115,Candidates!$H:$H,"UNKNOWN")+COUNTIFS(Candidates!$C:$C,$A115,Candidates!$H:$H,"LOW")</f>
        <v/>
      </c>
      <c r="K115" s="17" t="n"/>
    </row>
    <row r="116">
      <c r="A116" s="16" t="inlineStr">
        <is>
          <t>SC-House-115</t>
        </is>
      </c>
      <c r="B116" s="16" t="inlineStr">
        <is>
          <t>SC House District 115</t>
        </is>
      </c>
      <c r="C116" s="16" t="inlineStr">
        <is>
          <t>Elizabeth "Spencer" Wetmore</t>
        </is>
      </c>
      <c r="D116" s="16" t="inlineStr">
        <is>
          <t>Democratic</t>
        </is>
      </c>
      <c r="E116" s="21">
        <f>COUNTIFS(Candidates!$C:$C,$A116,Candidates!$L:$L,"D")</f>
        <v/>
      </c>
      <c r="F116" s="21">
        <f>COUNTIFS(Candidates!$C:$C,$A116,Candidates!$L:$L,"R")</f>
        <v/>
      </c>
      <c r="G116" s="21">
        <f>COUNTIFS(Candidates!$C:$C,$A116,Candidates!$L:$L,"I")+COUNTIFS(Candidates!$C:$C,$A116,Candidates!$L:$L,"O")</f>
        <v/>
      </c>
      <c r="H116" s="16" t="n"/>
      <c r="I116" s="16" t="n"/>
      <c r="J116" s="21">
        <f>COUNTIFS(Candidates!$C:$C,$A116,Candidates!$H:$H,"UNKNOWN")+COUNTIFS(Candidates!$C:$C,$A116,Candidates!$H:$H,"LOW")</f>
        <v/>
      </c>
      <c r="K116" s="16" t="n"/>
    </row>
    <row r="117">
      <c r="A117" s="17" t="inlineStr">
        <is>
          <t>SC-House-116</t>
        </is>
      </c>
      <c r="B117" s="17" t="inlineStr">
        <is>
          <t>SC House District 116</t>
        </is>
      </c>
      <c r="C117" s="17" t="inlineStr">
        <is>
          <t>James E. Teeple</t>
        </is>
      </c>
      <c r="D117" s="17" t="inlineStr">
        <is>
          <t>Republican</t>
        </is>
      </c>
      <c r="E117" s="21">
        <f>COUNTIFS(Candidates!$C:$C,$A117,Candidates!$L:$L,"D")</f>
        <v/>
      </c>
      <c r="F117" s="21">
        <f>COUNTIFS(Candidates!$C:$C,$A117,Candidates!$L:$L,"R")</f>
        <v/>
      </c>
      <c r="G117" s="21">
        <f>COUNTIFS(Candidates!$C:$C,$A117,Candidates!$L:$L,"I")+COUNTIFS(Candidates!$C:$C,$A117,Candidates!$L:$L,"O")</f>
        <v/>
      </c>
      <c r="H117" s="17" t="n"/>
      <c r="I117" s="17" t="n"/>
      <c r="J117" s="21">
        <f>COUNTIFS(Candidates!$C:$C,$A117,Candidates!$H:$H,"UNKNOWN")+COUNTIFS(Candidates!$C:$C,$A117,Candidates!$H:$H,"LOW")</f>
        <v/>
      </c>
      <c r="K117" s="17" t="n"/>
    </row>
    <row r="118">
      <c r="A118" s="16" t="inlineStr">
        <is>
          <t>SC-House-117</t>
        </is>
      </c>
      <c r="B118" s="16" t="inlineStr">
        <is>
          <t>SC House District 117</t>
        </is>
      </c>
      <c r="C118" s="16" t="inlineStr">
        <is>
          <t>Jordan S. Pace</t>
        </is>
      </c>
      <c r="D118" s="16" t="inlineStr">
        <is>
          <t>Republican</t>
        </is>
      </c>
      <c r="E118" s="21">
        <f>COUNTIFS(Candidates!$C:$C,$A118,Candidates!$L:$L,"D")</f>
        <v/>
      </c>
      <c r="F118" s="21">
        <f>COUNTIFS(Candidates!$C:$C,$A118,Candidates!$L:$L,"R")</f>
        <v/>
      </c>
      <c r="G118" s="21">
        <f>COUNTIFS(Candidates!$C:$C,$A118,Candidates!$L:$L,"I")+COUNTIFS(Candidates!$C:$C,$A118,Candidates!$L:$L,"O")</f>
        <v/>
      </c>
      <c r="H118" s="16" t="n"/>
      <c r="I118" s="16" t="n"/>
      <c r="J118" s="21">
        <f>COUNTIFS(Candidates!$C:$C,$A118,Candidates!$H:$H,"UNKNOWN")+COUNTIFS(Candidates!$C:$C,$A118,Candidates!$H:$H,"LOW")</f>
        <v/>
      </c>
      <c r="K118" s="16" t="n"/>
    </row>
    <row r="119">
      <c r="A119" s="17" t="inlineStr">
        <is>
          <t>SC-House-118</t>
        </is>
      </c>
      <c r="B119" s="17" t="inlineStr">
        <is>
          <t>SC House District 118</t>
        </is>
      </c>
      <c r="C119" s="17" t="inlineStr">
        <is>
          <t>William G. "Bill" Herbkersman</t>
        </is>
      </c>
      <c r="D119" s="17" t="inlineStr">
        <is>
          <t>Republican</t>
        </is>
      </c>
      <c r="E119" s="21">
        <f>COUNTIFS(Candidates!$C:$C,$A119,Candidates!$L:$L,"D")</f>
        <v/>
      </c>
      <c r="F119" s="21">
        <f>COUNTIFS(Candidates!$C:$C,$A119,Candidates!$L:$L,"R")</f>
        <v/>
      </c>
      <c r="G119" s="21">
        <f>COUNTIFS(Candidates!$C:$C,$A119,Candidates!$L:$L,"I")+COUNTIFS(Candidates!$C:$C,$A119,Candidates!$L:$L,"O")</f>
        <v/>
      </c>
      <c r="H119" s="17" t="n"/>
      <c r="I119" s="17" t="n"/>
      <c r="J119" s="21">
        <f>COUNTIFS(Candidates!$C:$C,$A119,Candidates!$H:$H,"UNKNOWN")+COUNTIFS(Candidates!$C:$C,$A119,Candidates!$H:$H,"LOW")</f>
        <v/>
      </c>
      <c r="K119" s="17" t="n"/>
    </row>
    <row r="120">
      <c r="A120" s="16" t="inlineStr">
        <is>
          <t>SC-House-119</t>
        </is>
      </c>
      <c r="B120" s="16" t="inlineStr">
        <is>
          <t>SC House District 119</t>
        </is>
      </c>
      <c r="C120" s="16" t="inlineStr">
        <is>
          <t>Leonidas E. "Leon" Stavrinakis</t>
        </is>
      </c>
      <c r="D120" s="16" t="inlineStr">
        <is>
          <t>Democratic</t>
        </is>
      </c>
      <c r="E120" s="21">
        <f>COUNTIFS(Candidates!$C:$C,$A120,Candidates!$L:$L,"D")</f>
        <v/>
      </c>
      <c r="F120" s="21">
        <f>COUNTIFS(Candidates!$C:$C,$A120,Candidates!$L:$L,"R")</f>
        <v/>
      </c>
      <c r="G120" s="21">
        <f>COUNTIFS(Candidates!$C:$C,$A120,Candidates!$L:$L,"I")+COUNTIFS(Candidates!$C:$C,$A120,Candidates!$L:$L,"O")</f>
        <v/>
      </c>
      <c r="H120" s="16" t="n"/>
      <c r="I120" s="16" t="n"/>
      <c r="J120" s="21">
        <f>COUNTIFS(Candidates!$C:$C,$A120,Candidates!$H:$H,"UNKNOWN")+COUNTIFS(Candidates!$C:$C,$A120,Candidates!$H:$H,"LOW")</f>
        <v/>
      </c>
      <c r="K120" s="16" t="n"/>
    </row>
    <row r="121">
      <c r="A121" s="17" t="inlineStr">
        <is>
          <t>SC-House-120</t>
        </is>
      </c>
      <c r="B121" s="17" t="inlineStr">
        <is>
          <t>SC House District 120</t>
        </is>
      </c>
      <c r="C121" s="17" t="inlineStr">
        <is>
          <t>Wm. Weston J. Newton</t>
        </is>
      </c>
      <c r="D121" s="17" t="inlineStr">
        <is>
          <t>Republican</t>
        </is>
      </c>
      <c r="E121" s="21">
        <f>COUNTIFS(Candidates!$C:$C,$A121,Candidates!$L:$L,"D")</f>
        <v/>
      </c>
      <c r="F121" s="21">
        <f>COUNTIFS(Candidates!$C:$C,$A121,Candidates!$L:$L,"R")</f>
        <v/>
      </c>
      <c r="G121" s="21">
        <f>COUNTIFS(Candidates!$C:$C,$A121,Candidates!$L:$L,"I")+COUNTIFS(Candidates!$C:$C,$A121,Candidates!$L:$L,"O")</f>
        <v/>
      </c>
      <c r="H121" s="17" t="n"/>
      <c r="I121" s="17" t="n"/>
      <c r="J121" s="21">
        <f>COUNTIFS(Candidates!$C:$C,$A121,Candidates!$H:$H,"UNKNOWN")+COUNTIFS(Candidates!$C:$C,$A121,Candidates!$H:$H,"LOW")</f>
        <v/>
      </c>
      <c r="K121" s="17" t="n"/>
    </row>
    <row r="122">
      <c r="A122" s="16" t="inlineStr">
        <is>
          <t>SC-House-121</t>
        </is>
      </c>
      <c r="B122" s="16" t="inlineStr">
        <is>
          <t>SC House District 121</t>
        </is>
      </c>
      <c r="C122" s="16" t="inlineStr">
        <is>
          <t>Michael F. Rivers, Sr.</t>
        </is>
      </c>
      <c r="D122" s="16" t="inlineStr">
        <is>
          <t>Democratic</t>
        </is>
      </c>
      <c r="E122" s="21">
        <f>COUNTIFS(Candidates!$C:$C,$A122,Candidates!$L:$L,"D")</f>
        <v/>
      </c>
      <c r="F122" s="21">
        <f>COUNTIFS(Candidates!$C:$C,$A122,Candidates!$L:$L,"R")</f>
        <v/>
      </c>
      <c r="G122" s="21">
        <f>COUNTIFS(Candidates!$C:$C,$A122,Candidates!$L:$L,"I")+COUNTIFS(Candidates!$C:$C,$A122,Candidates!$L:$L,"O")</f>
        <v/>
      </c>
      <c r="H122" s="16" t="n"/>
      <c r="I122" s="16" t="n"/>
      <c r="J122" s="21">
        <f>COUNTIFS(Candidates!$C:$C,$A122,Candidates!$H:$H,"UNKNOWN")+COUNTIFS(Candidates!$C:$C,$A122,Candidates!$H:$H,"LOW")</f>
        <v/>
      </c>
      <c r="K122" s="16" t="n"/>
    </row>
    <row r="123">
      <c r="A123" s="17" t="inlineStr">
        <is>
          <t>SC-House-122</t>
        </is>
      </c>
      <c r="B123" s="17" t="inlineStr">
        <is>
          <t>SC House District 122</t>
        </is>
      </c>
      <c r="C123" s="17" t="inlineStr">
        <is>
          <t>William "Bill" Hager</t>
        </is>
      </c>
      <c r="D123" s="17" t="inlineStr">
        <is>
          <t>Republican</t>
        </is>
      </c>
      <c r="E123" s="21">
        <f>COUNTIFS(Candidates!$C:$C,$A123,Candidates!$L:$L,"D")</f>
        <v/>
      </c>
      <c r="F123" s="21">
        <f>COUNTIFS(Candidates!$C:$C,$A123,Candidates!$L:$L,"R")</f>
        <v/>
      </c>
      <c r="G123" s="21">
        <f>COUNTIFS(Candidates!$C:$C,$A123,Candidates!$L:$L,"I")+COUNTIFS(Candidates!$C:$C,$A123,Candidates!$L:$L,"O")</f>
        <v/>
      </c>
      <c r="H123" s="17" t="n"/>
      <c r="I123" s="17" t="n"/>
      <c r="J123" s="21">
        <f>COUNTIFS(Candidates!$C:$C,$A123,Candidates!$H:$H,"UNKNOWN")+COUNTIFS(Candidates!$C:$C,$A123,Candidates!$H:$H,"LOW")</f>
        <v/>
      </c>
      <c r="K123" s="17" t="n"/>
    </row>
    <row r="124">
      <c r="A124" s="16" t="inlineStr">
        <is>
          <t>SC-House-123</t>
        </is>
      </c>
      <c r="B124" s="16" t="inlineStr">
        <is>
          <t>SC House District 123</t>
        </is>
      </c>
      <c r="C124" s="16" t="inlineStr">
        <is>
          <t>Jeffrey A. "Jeff" Bradley</t>
        </is>
      </c>
      <c r="D124" s="16" t="inlineStr">
        <is>
          <t>Republican</t>
        </is>
      </c>
      <c r="E124" s="21">
        <f>COUNTIFS(Candidates!$C:$C,$A124,Candidates!$L:$L,"D")</f>
        <v/>
      </c>
      <c r="F124" s="21">
        <f>COUNTIFS(Candidates!$C:$C,$A124,Candidates!$L:$L,"R")</f>
        <v/>
      </c>
      <c r="G124" s="21">
        <f>COUNTIFS(Candidates!$C:$C,$A124,Candidates!$L:$L,"I")+COUNTIFS(Candidates!$C:$C,$A124,Candidates!$L:$L,"O")</f>
        <v/>
      </c>
      <c r="H124" s="16" t="n"/>
      <c r="I124" s="16" t="n"/>
      <c r="J124" s="21">
        <f>COUNTIFS(Candidates!$C:$C,$A124,Candidates!$H:$H,"UNKNOWN")+COUNTIFS(Candidates!$C:$C,$A124,Candidates!$H:$H,"LOW")</f>
        <v/>
      </c>
      <c r="K124" s="16" t="n"/>
    </row>
    <row r="125">
      <c r="A125" s="17" t="inlineStr">
        <is>
          <t>SC-House-124</t>
        </is>
      </c>
      <c r="B125" s="17" t="inlineStr">
        <is>
          <t>SC House District 124</t>
        </is>
      </c>
      <c r="C125" s="17" t="inlineStr">
        <is>
          <t>Shannon S. Erickson</t>
        </is>
      </c>
      <c r="D125" s="17" t="inlineStr">
        <is>
          <t>Republican</t>
        </is>
      </c>
      <c r="E125" s="21">
        <f>COUNTIFS(Candidates!$C:$C,$A125,Candidates!$L:$L,"D")</f>
        <v/>
      </c>
      <c r="F125" s="21">
        <f>COUNTIFS(Candidates!$C:$C,$A125,Candidates!$L:$L,"R")</f>
        <v/>
      </c>
      <c r="G125" s="21">
        <f>COUNTIFS(Candidates!$C:$C,$A125,Candidates!$L:$L,"I")+COUNTIFS(Candidates!$C:$C,$A125,Candidates!$L:$L,"O")</f>
        <v/>
      </c>
      <c r="H125" s="17" t="n"/>
      <c r="I125" s="17" t="n"/>
      <c r="J125" s="21">
        <f>COUNTIFS(Candidates!$C:$C,$A125,Candidates!$H:$H,"UNKNOWN")+COUNTIFS(Candidates!$C:$C,$A125,Candidates!$H:$H,"LOW")</f>
        <v/>
      </c>
      <c r="K125" s="17" t="n"/>
    </row>
    <row r="126">
      <c r="A126" s="16" t="inlineStr">
        <is>
          <t>SC-Senate-001</t>
        </is>
      </c>
      <c r="B126" s="16" t="inlineStr">
        <is>
          <t>SC Senate District 1</t>
        </is>
      </c>
      <c r="C126" s="16" t="inlineStr">
        <is>
          <t>Thomas C. Alexander</t>
        </is>
      </c>
      <c r="D126" s="16" t="inlineStr">
        <is>
          <t>Republican</t>
        </is>
      </c>
      <c r="E126" s="21">
        <f>COUNTIFS(Candidates!$C:$C,$A126,Candidates!$L:$L,"D")</f>
        <v/>
      </c>
      <c r="F126" s="21">
        <f>COUNTIFS(Candidates!$C:$C,$A126,Candidates!$L:$L,"R")</f>
        <v/>
      </c>
      <c r="G126" s="21">
        <f>COUNTIFS(Candidates!$C:$C,$A126,Candidates!$L:$L,"I")+COUNTIFS(Candidates!$C:$C,$A126,Candidates!$L:$L,"O")</f>
        <v/>
      </c>
      <c r="H126" s="16" t="n"/>
      <c r="I126" s="16" t="n"/>
      <c r="J126" s="21">
        <f>COUNTIFS(Candidates!$C:$C,$A126,Candidates!$H:$H,"UNKNOWN")+COUNTIFS(Candidates!$C:$C,$A126,Candidates!$H:$H,"LOW")</f>
        <v/>
      </c>
      <c r="K126" s="16" t="n"/>
    </row>
    <row r="127">
      <c r="A127" s="17" t="inlineStr">
        <is>
          <t>SC-Senate-002</t>
        </is>
      </c>
      <c r="B127" s="17" t="inlineStr">
        <is>
          <t>SC Senate District 2</t>
        </is>
      </c>
      <c r="C127" s="17" t="inlineStr">
        <is>
          <t>Rex F. Rice</t>
        </is>
      </c>
      <c r="D127" s="17" t="inlineStr">
        <is>
          <t>Republican</t>
        </is>
      </c>
      <c r="E127" s="21">
        <f>COUNTIFS(Candidates!$C:$C,$A127,Candidates!$L:$L,"D")</f>
        <v/>
      </c>
      <c r="F127" s="21">
        <f>COUNTIFS(Candidates!$C:$C,$A127,Candidates!$L:$L,"R")</f>
        <v/>
      </c>
      <c r="G127" s="21">
        <f>COUNTIFS(Candidates!$C:$C,$A127,Candidates!$L:$L,"I")+COUNTIFS(Candidates!$C:$C,$A127,Candidates!$L:$L,"O")</f>
        <v/>
      </c>
      <c r="H127" s="17" t="n"/>
      <c r="I127" s="17" t="n"/>
      <c r="J127" s="21">
        <f>COUNTIFS(Candidates!$C:$C,$A127,Candidates!$H:$H,"UNKNOWN")+COUNTIFS(Candidates!$C:$C,$A127,Candidates!$H:$H,"LOW")</f>
        <v/>
      </c>
      <c r="K127" s="17" t="n"/>
    </row>
    <row r="128">
      <c r="A128" s="16" t="inlineStr">
        <is>
          <t>SC-Senate-003</t>
        </is>
      </c>
      <c r="B128" s="16" t="inlineStr">
        <is>
          <t>SC Senate District 3</t>
        </is>
      </c>
      <c r="C128" s="16" t="inlineStr">
        <is>
          <t>Richard J. Cash</t>
        </is>
      </c>
      <c r="D128" s="16" t="inlineStr">
        <is>
          <t>Republican</t>
        </is>
      </c>
      <c r="E128" s="21">
        <f>COUNTIFS(Candidates!$C:$C,$A128,Candidates!$L:$L,"D")</f>
        <v/>
      </c>
      <c r="F128" s="21">
        <f>COUNTIFS(Candidates!$C:$C,$A128,Candidates!$L:$L,"R")</f>
        <v/>
      </c>
      <c r="G128" s="21">
        <f>COUNTIFS(Candidates!$C:$C,$A128,Candidates!$L:$L,"I")+COUNTIFS(Candidates!$C:$C,$A128,Candidates!$L:$L,"O")</f>
        <v/>
      </c>
      <c r="H128" s="16" t="n"/>
      <c r="I128" s="16" t="n"/>
      <c r="J128" s="21">
        <f>COUNTIFS(Candidates!$C:$C,$A128,Candidates!$H:$H,"UNKNOWN")+COUNTIFS(Candidates!$C:$C,$A128,Candidates!$H:$H,"LOW")</f>
        <v/>
      </c>
      <c r="K128" s="16" t="n"/>
    </row>
    <row r="129">
      <c r="A129" s="17" t="inlineStr">
        <is>
          <t>SC-Senate-004</t>
        </is>
      </c>
      <c r="B129" s="17" t="inlineStr">
        <is>
          <t>SC Senate District 4</t>
        </is>
      </c>
      <c r="C129" s="17" t="inlineStr">
        <is>
          <t>Michael W. Gambrell</t>
        </is>
      </c>
      <c r="D129" s="17" t="inlineStr">
        <is>
          <t>Republican</t>
        </is>
      </c>
      <c r="E129" s="21">
        <f>COUNTIFS(Candidates!$C:$C,$A129,Candidates!$L:$L,"D")</f>
        <v/>
      </c>
      <c r="F129" s="21">
        <f>COUNTIFS(Candidates!$C:$C,$A129,Candidates!$L:$L,"R")</f>
        <v/>
      </c>
      <c r="G129" s="21">
        <f>COUNTIFS(Candidates!$C:$C,$A129,Candidates!$L:$L,"I")+COUNTIFS(Candidates!$C:$C,$A129,Candidates!$L:$L,"O")</f>
        <v/>
      </c>
      <c r="H129" s="17" t="n"/>
      <c r="I129" s="17" t="n"/>
      <c r="J129" s="21">
        <f>COUNTIFS(Candidates!$C:$C,$A129,Candidates!$H:$H,"UNKNOWN")+COUNTIFS(Candidates!$C:$C,$A129,Candidates!$H:$H,"LOW")</f>
        <v/>
      </c>
      <c r="K129" s="17" t="n"/>
    </row>
    <row r="130">
      <c r="A130" s="16" t="inlineStr">
        <is>
          <t>SC-Senate-005</t>
        </is>
      </c>
      <c r="B130" s="16" t="inlineStr">
        <is>
          <t>SC Senate District 5</t>
        </is>
      </c>
      <c r="C130" s="16" t="inlineStr">
        <is>
          <t>Thomas D. "Tom" Corbin</t>
        </is>
      </c>
      <c r="D130" s="16" t="inlineStr">
        <is>
          <t>Republican</t>
        </is>
      </c>
      <c r="E130" s="21">
        <f>COUNTIFS(Candidates!$C:$C,$A130,Candidates!$L:$L,"D")</f>
        <v/>
      </c>
      <c r="F130" s="21">
        <f>COUNTIFS(Candidates!$C:$C,$A130,Candidates!$L:$L,"R")</f>
        <v/>
      </c>
      <c r="G130" s="21">
        <f>COUNTIFS(Candidates!$C:$C,$A130,Candidates!$L:$L,"I")+COUNTIFS(Candidates!$C:$C,$A130,Candidates!$L:$L,"O")</f>
        <v/>
      </c>
      <c r="H130" s="16" t="n"/>
      <c r="I130" s="16" t="n"/>
      <c r="J130" s="21">
        <f>COUNTIFS(Candidates!$C:$C,$A130,Candidates!$H:$H,"UNKNOWN")+COUNTIFS(Candidates!$C:$C,$A130,Candidates!$H:$H,"LOW")</f>
        <v/>
      </c>
      <c r="K130" s="16" t="n"/>
    </row>
    <row r="131">
      <c r="A131" s="17" t="inlineStr">
        <is>
          <t>SC-Senate-006</t>
        </is>
      </c>
      <c r="B131" s="17" t="inlineStr">
        <is>
          <t>SC Senate District 6</t>
        </is>
      </c>
      <c r="C131" s="17" t="inlineStr">
        <is>
          <t>Jason Elliott</t>
        </is>
      </c>
      <c r="D131" s="17" t="inlineStr">
        <is>
          <t>Republican</t>
        </is>
      </c>
      <c r="E131" s="21">
        <f>COUNTIFS(Candidates!$C:$C,$A131,Candidates!$L:$L,"D")</f>
        <v/>
      </c>
      <c r="F131" s="21">
        <f>COUNTIFS(Candidates!$C:$C,$A131,Candidates!$L:$L,"R")</f>
        <v/>
      </c>
      <c r="G131" s="21">
        <f>COUNTIFS(Candidates!$C:$C,$A131,Candidates!$L:$L,"I")+COUNTIFS(Candidates!$C:$C,$A131,Candidates!$L:$L,"O")</f>
        <v/>
      </c>
      <c r="H131" s="17" t="n"/>
      <c r="I131" s="17" t="n"/>
      <c r="J131" s="21">
        <f>COUNTIFS(Candidates!$C:$C,$A131,Candidates!$H:$H,"UNKNOWN")+COUNTIFS(Candidates!$C:$C,$A131,Candidates!$H:$H,"LOW")</f>
        <v/>
      </c>
      <c r="K131" s="17" t="n"/>
    </row>
    <row r="132">
      <c r="A132" s="16" t="inlineStr">
        <is>
          <t>SC-Senate-007</t>
        </is>
      </c>
      <c r="B132" s="16" t="inlineStr">
        <is>
          <t>SC Senate District 7</t>
        </is>
      </c>
      <c r="C132" s="16" t="inlineStr">
        <is>
          <t>Karl B. Allen</t>
        </is>
      </c>
      <c r="D132" s="16" t="inlineStr">
        <is>
          <t>Democratic</t>
        </is>
      </c>
      <c r="E132" s="21">
        <f>COUNTIFS(Candidates!$C:$C,$A132,Candidates!$L:$L,"D")</f>
        <v/>
      </c>
      <c r="F132" s="21">
        <f>COUNTIFS(Candidates!$C:$C,$A132,Candidates!$L:$L,"R")</f>
        <v/>
      </c>
      <c r="G132" s="21">
        <f>COUNTIFS(Candidates!$C:$C,$A132,Candidates!$L:$L,"I")+COUNTIFS(Candidates!$C:$C,$A132,Candidates!$L:$L,"O")</f>
        <v/>
      </c>
      <c r="H132" s="16" t="n"/>
      <c r="I132" s="16" t="n"/>
      <c r="J132" s="21">
        <f>COUNTIFS(Candidates!$C:$C,$A132,Candidates!$H:$H,"UNKNOWN")+COUNTIFS(Candidates!$C:$C,$A132,Candidates!$H:$H,"LOW")</f>
        <v/>
      </c>
      <c r="K132" s="16" t="n"/>
    </row>
    <row r="133">
      <c r="A133" s="17" t="inlineStr">
        <is>
          <t>SC-Senate-008</t>
        </is>
      </c>
      <c r="B133" s="17" t="inlineStr">
        <is>
          <t>SC Senate District 8</t>
        </is>
      </c>
      <c r="C133" s="17" t="inlineStr">
        <is>
          <t>Ross Turner</t>
        </is>
      </c>
      <c r="D133" s="17" t="inlineStr">
        <is>
          <t>Republican</t>
        </is>
      </c>
      <c r="E133" s="21">
        <f>COUNTIFS(Candidates!$C:$C,$A133,Candidates!$L:$L,"D")</f>
        <v/>
      </c>
      <c r="F133" s="21">
        <f>COUNTIFS(Candidates!$C:$C,$A133,Candidates!$L:$L,"R")</f>
        <v/>
      </c>
      <c r="G133" s="21">
        <f>COUNTIFS(Candidates!$C:$C,$A133,Candidates!$L:$L,"I")+COUNTIFS(Candidates!$C:$C,$A133,Candidates!$L:$L,"O")</f>
        <v/>
      </c>
      <c r="H133" s="17" t="n"/>
      <c r="I133" s="17" t="n"/>
      <c r="J133" s="21">
        <f>COUNTIFS(Candidates!$C:$C,$A133,Candidates!$H:$H,"UNKNOWN")+COUNTIFS(Candidates!$C:$C,$A133,Candidates!$H:$H,"LOW")</f>
        <v/>
      </c>
      <c r="K133" s="17" t="n"/>
    </row>
    <row r="134">
      <c r="A134" s="16" t="inlineStr">
        <is>
          <t>SC-Senate-009</t>
        </is>
      </c>
      <c r="B134" s="16" t="inlineStr">
        <is>
          <t>SC Senate District 9</t>
        </is>
      </c>
      <c r="C134" s="16" t="inlineStr">
        <is>
          <t>Daniel B. "Danny" Verdin III</t>
        </is>
      </c>
      <c r="D134" s="16" t="inlineStr">
        <is>
          <t>Republican</t>
        </is>
      </c>
      <c r="E134" s="21">
        <f>COUNTIFS(Candidates!$C:$C,$A134,Candidates!$L:$L,"D")</f>
        <v/>
      </c>
      <c r="F134" s="21">
        <f>COUNTIFS(Candidates!$C:$C,$A134,Candidates!$L:$L,"R")</f>
        <v/>
      </c>
      <c r="G134" s="21">
        <f>COUNTIFS(Candidates!$C:$C,$A134,Candidates!$L:$L,"I")+COUNTIFS(Candidates!$C:$C,$A134,Candidates!$L:$L,"O")</f>
        <v/>
      </c>
      <c r="H134" s="16" t="n"/>
      <c r="I134" s="16" t="n"/>
      <c r="J134" s="21">
        <f>COUNTIFS(Candidates!$C:$C,$A134,Candidates!$H:$H,"UNKNOWN")+COUNTIFS(Candidates!$C:$C,$A134,Candidates!$H:$H,"LOW")</f>
        <v/>
      </c>
      <c r="K134" s="16" t="n"/>
    </row>
    <row r="135">
      <c r="A135" s="17" t="inlineStr">
        <is>
          <t>SC-Senate-010</t>
        </is>
      </c>
      <c r="B135" s="17" t="inlineStr">
        <is>
          <t>SC Senate District 10</t>
        </is>
      </c>
      <c r="C135" s="17" t="inlineStr">
        <is>
          <t>Billy Garrett</t>
        </is>
      </c>
      <c r="D135" s="17" t="inlineStr">
        <is>
          <t>Republican</t>
        </is>
      </c>
      <c r="E135" s="21">
        <f>COUNTIFS(Candidates!$C:$C,$A135,Candidates!$L:$L,"D")</f>
        <v/>
      </c>
      <c r="F135" s="21">
        <f>COUNTIFS(Candidates!$C:$C,$A135,Candidates!$L:$L,"R")</f>
        <v/>
      </c>
      <c r="G135" s="21">
        <f>COUNTIFS(Candidates!$C:$C,$A135,Candidates!$L:$L,"I")+COUNTIFS(Candidates!$C:$C,$A135,Candidates!$L:$L,"O")</f>
        <v/>
      </c>
      <c r="H135" s="17" t="n"/>
      <c r="I135" s="17" t="n"/>
      <c r="J135" s="21">
        <f>COUNTIFS(Candidates!$C:$C,$A135,Candidates!$H:$H,"UNKNOWN")+COUNTIFS(Candidates!$C:$C,$A135,Candidates!$H:$H,"LOW")</f>
        <v/>
      </c>
      <c r="K135" s="17" t="n"/>
    </row>
    <row r="136">
      <c r="A136" s="16" t="inlineStr">
        <is>
          <t>SC-Senate-011</t>
        </is>
      </c>
      <c r="B136" s="16" t="inlineStr">
        <is>
          <t>SC Senate District 11</t>
        </is>
      </c>
      <c r="C136" s="16" t="inlineStr">
        <is>
          <t>Josh Kimbrell</t>
        </is>
      </c>
      <c r="D136" s="16" t="inlineStr">
        <is>
          <t>Republican</t>
        </is>
      </c>
      <c r="E136" s="21">
        <f>COUNTIFS(Candidates!$C:$C,$A136,Candidates!$L:$L,"D")</f>
        <v/>
      </c>
      <c r="F136" s="21">
        <f>COUNTIFS(Candidates!$C:$C,$A136,Candidates!$L:$L,"R")</f>
        <v/>
      </c>
      <c r="G136" s="21">
        <f>COUNTIFS(Candidates!$C:$C,$A136,Candidates!$L:$L,"I")+COUNTIFS(Candidates!$C:$C,$A136,Candidates!$L:$L,"O")</f>
        <v/>
      </c>
      <c r="H136" s="16" t="n"/>
      <c r="I136" s="16" t="n"/>
      <c r="J136" s="21">
        <f>COUNTIFS(Candidates!$C:$C,$A136,Candidates!$H:$H,"UNKNOWN")+COUNTIFS(Candidates!$C:$C,$A136,Candidates!$H:$H,"LOW")</f>
        <v/>
      </c>
      <c r="K136" s="16" t="n"/>
    </row>
    <row r="137">
      <c r="A137" s="17" t="inlineStr">
        <is>
          <t>SC-Senate-012</t>
        </is>
      </c>
      <c r="B137" s="17" t="inlineStr">
        <is>
          <t>SC Senate District 12</t>
        </is>
      </c>
      <c r="C137" s="17" t="inlineStr">
        <is>
          <t>Lee Bright</t>
        </is>
      </c>
      <c r="D137" s="17" t="inlineStr">
        <is>
          <t>Republican</t>
        </is>
      </c>
      <c r="E137" s="21">
        <f>COUNTIFS(Candidates!$C:$C,$A137,Candidates!$L:$L,"D")</f>
        <v/>
      </c>
      <c r="F137" s="21">
        <f>COUNTIFS(Candidates!$C:$C,$A137,Candidates!$L:$L,"R")</f>
        <v/>
      </c>
      <c r="G137" s="21">
        <f>COUNTIFS(Candidates!$C:$C,$A137,Candidates!$L:$L,"I")+COUNTIFS(Candidates!$C:$C,$A137,Candidates!$L:$L,"O")</f>
        <v/>
      </c>
      <c r="H137" s="17" t="n"/>
      <c r="I137" s="17" t="n"/>
      <c r="J137" s="21">
        <f>COUNTIFS(Candidates!$C:$C,$A137,Candidates!$H:$H,"UNKNOWN")+COUNTIFS(Candidates!$C:$C,$A137,Candidates!$H:$H,"LOW")</f>
        <v/>
      </c>
      <c r="K137" s="17" t="n"/>
    </row>
    <row r="138">
      <c r="A138" s="16" t="inlineStr">
        <is>
          <t>SC-Senate-013</t>
        </is>
      </c>
      <c r="B138" s="16" t="inlineStr">
        <is>
          <t>SC Senate District 13</t>
        </is>
      </c>
      <c r="C138" s="16" t="inlineStr">
        <is>
          <t>Shane R. Martin</t>
        </is>
      </c>
      <c r="D138" s="16" t="inlineStr">
        <is>
          <t>Republican</t>
        </is>
      </c>
      <c r="E138" s="21">
        <f>COUNTIFS(Candidates!$C:$C,$A138,Candidates!$L:$L,"D")</f>
        <v/>
      </c>
      <c r="F138" s="21">
        <f>COUNTIFS(Candidates!$C:$C,$A138,Candidates!$L:$L,"R")</f>
        <v/>
      </c>
      <c r="G138" s="21">
        <f>COUNTIFS(Candidates!$C:$C,$A138,Candidates!$L:$L,"I")+COUNTIFS(Candidates!$C:$C,$A138,Candidates!$L:$L,"O")</f>
        <v/>
      </c>
      <c r="H138" s="16" t="n"/>
      <c r="I138" s="16" t="n"/>
      <c r="J138" s="21">
        <f>COUNTIFS(Candidates!$C:$C,$A138,Candidates!$H:$H,"UNKNOWN")+COUNTIFS(Candidates!$C:$C,$A138,Candidates!$H:$H,"LOW")</f>
        <v/>
      </c>
      <c r="K138" s="16" t="n"/>
    </row>
    <row r="139">
      <c r="A139" s="17" t="inlineStr">
        <is>
          <t>SC-Senate-014</t>
        </is>
      </c>
      <c r="B139" s="17" t="inlineStr">
        <is>
          <t>SC Senate District 14</t>
        </is>
      </c>
      <c r="C139" s="17" t="inlineStr">
        <is>
          <t>Harvey S. Peeler, Jr.</t>
        </is>
      </c>
      <c r="D139" s="17" t="inlineStr">
        <is>
          <t>Republican</t>
        </is>
      </c>
      <c r="E139" s="21">
        <f>COUNTIFS(Candidates!$C:$C,$A139,Candidates!$L:$L,"D")</f>
        <v/>
      </c>
      <c r="F139" s="21">
        <f>COUNTIFS(Candidates!$C:$C,$A139,Candidates!$L:$L,"R")</f>
        <v/>
      </c>
      <c r="G139" s="21">
        <f>COUNTIFS(Candidates!$C:$C,$A139,Candidates!$L:$L,"I")+COUNTIFS(Candidates!$C:$C,$A139,Candidates!$L:$L,"O")</f>
        <v/>
      </c>
      <c r="H139" s="17" t="n"/>
      <c r="I139" s="17" t="n"/>
      <c r="J139" s="21">
        <f>COUNTIFS(Candidates!$C:$C,$A139,Candidates!$H:$H,"UNKNOWN")+COUNTIFS(Candidates!$C:$C,$A139,Candidates!$H:$H,"LOW")</f>
        <v/>
      </c>
      <c r="K139" s="17" t="n"/>
    </row>
    <row r="140">
      <c r="A140" s="16" t="inlineStr">
        <is>
          <t>SC-Senate-015</t>
        </is>
      </c>
      <c r="B140" s="16" t="inlineStr">
        <is>
          <t>SC Senate District 15</t>
        </is>
      </c>
      <c r="C140" s="16" t="inlineStr">
        <is>
          <t>Wes Climer</t>
        </is>
      </c>
      <c r="D140" s="16" t="inlineStr">
        <is>
          <t>Republican</t>
        </is>
      </c>
      <c r="E140" s="21">
        <f>COUNTIFS(Candidates!$C:$C,$A140,Candidates!$L:$L,"D")</f>
        <v/>
      </c>
      <c r="F140" s="21">
        <f>COUNTIFS(Candidates!$C:$C,$A140,Candidates!$L:$L,"R")</f>
        <v/>
      </c>
      <c r="G140" s="21">
        <f>COUNTIFS(Candidates!$C:$C,$A140,Candidates!$L:$L,"I")+COUNTIFS(Candidates!$C:$C,$A140,Candidates!$L:$L,"O")</f>
        <v/>
      </c>
      <c r="H140" s="16" t="n"/>
      <c r="I140" s="16" t="n"/>
      <c r="J140" s="21">
        <f>COUNTIFS(Candidates!$C:$C,$A140,Candidates!$H:$H,"UNKNOWN")+COUNTIFS(Candidates!$C:$C,$A140,Candidates!$H:$H,"LOW")</f>
        <v/>
      </c>
      <c r="K140" s="16" t="n"/>
    </row>
    <row r="141">
      <c r="A141" s="17" t="inlineStr">
        <is>
          <t>SC-Senate-016</t>
        </is>
      </c>
      <c r="B141" s="17" t="inlineStr">
        <is>
          <t>SC Senate District 16</t>
        </is>
      </c>
      <c r="C141" s="17" t="inlineStr">
        <is>
          <t>Michael Johnson</t>
        </is>
      </c>
      <c r="D141" s="17" t="inlineStr">
        <is>
          <t>Republican</t>
        </is>
      </c>
      <c r="E141" s="21">
        <f>COUNTIFS(Candidates!$C:$C,$A141,Candidates!$L:$L,"D")</f>
        <v/>
      </c>
      <c r="F141" s="21">
        <f>COUNTIFS(Candidates!$C:$C,$A141,Candidates!$L:$L,"R")</f>
        <v/>
      </c>
      <c r="G141" s="21">
        <f>COUNTIFS(Candidates!$C:$C,$A141,Candidates!$L:$L,"I")+COUNTIFS(Candidates!$C:$C,$A141,Candidates!$L:$L,"O")</f>
        <v/>
      </c>
      <c r="H141" s="17" t="n"/>
      <c r="I141" s="17" t="n"/>
      <c r="J141" s="21">
        <f>COUNTIFS(Candidates!$C:$C,$A141,Candidates!$H:$H,"UNKNOWN")+COUNTIFS(Candidates!$C:$C,$A141,Candidates!$H:$H,"LOW")</f>
        <v/>
      </c>
      <c r="K141" s="17" t="n"/>
    </row>
    <row r="142">
      <c r="A142" s="16" t="inlineStr">
        <is>
          <t>SC-Senate-017</t>
        </is>
      </c>
      <c r="B142" s="16" t="inlineStr">
        <is>
          <t>SC Senate District 17</t>
        </is>
      </c>
      <c r="C142" s="16" t="inlineStr">
        <is>
          <t>Everett Stubbs</t>
        </is>
      </c>
      <c r="D142" s="16" t="inlineStr">
        <is>
          <t>Republican</t>
        </is>
      </c>
      <c r="E142" s="21">
        <f>COUNTIFS(Candidates!$C:$C,$A142,Candidates!$L:$L,"D")</f>
        <v/>
      </c>
      <c r="F142" s="21">
        <f>COUNTIFS(Candidates!$C:$C,$A142,Candidates!$L:$L,"R")</f>
        <v/>
      </c>
      <c r="G142" s="21">
        <f>COUNTIFS(Candidates!$C:$C,$A142,Candidates!$L:$L,"I")+COUNTIFS(Candidates!$C:$C,$A142,Candidates!$L:$L,"O")</f>
        <v/>
      </c>
      <c r="H142" s="16" t="n"/>
      <c r="I142" s="16" t="n"/>
      <c r="J142" s="21">
        <f>COUNTIFS(Candidates!$C:$C,$A142,Candidates!$H:$H,"UNKNOWN")+COUNTIFS(Candidates!$C:$C,$A142,Candidates!$H:$H,"LOW")</f>
        <v/>
      </c>
      <c r="K142" s="16" t="n"/>
    </row>
    <row r="143">
      <c r="A143" s="17" t="inlineStr">
        <is>
          <t>SC-Senate-018</t>
        </is>
      </c>
      <c r="B143" s="17" t="inlineStr">
        <is>
          <t>SC Senate District 18</t>
        </is>
      </c>
      <c r="C143" s="17" t="inlineStr">
        <is>
          <t>Ronnie W. Cromer</t>
        </is>
      </c>
      <c r="D143" s="17" t="inlineStr">
        <is>
          <t>Republican</t>
        </is>
      </c>
      <c r="E143" s="21">
        <f>COUNTIFS(Candidates!$C:$C,$A143,Candidates!$L:$L,"D")</f>
        <v/>
      </c>
      <c r="F143" s="21">
        <f>COUNTIFS(Candidates!$C:$C,$A143,Candidates!$L:$L,"R")</f>
        <v/>
      </c>
      <c r="G143" s="21">
        <f>COUNTIFS(Candidates!$C:$C,$A143,Candidates!$L:$L,"I")+COUNTIFS(Candidates!$C:$C,$A143,Candidates!$L:$L,"O")</f>
        <v/>
      </c>
      <c r="H143" s="17" t="n"/>
      <c r="I143" s="17" t="n"/>
      <c r="J143" s="21">
        <f>COUNTIFS(Candidates!$C:$C,$A143,Candidates!$H:$H,"UNKNOWN")+COUNTIFS(Candidates!$C:$C,$A143,Candidates!$H:$H,"LOW")</f>
        <v/>
      </c>
      <c r="K143" s="17" t="n"/>
    </row>
    <row r="144">
      <c r="A144" s="16" t="inlineStr">
        <is>
          <t>SC-Senate-019</t>
        </is>
      </c>
      <c r="B144" s="16" t="inlineStr">
        <is>
          <t>SC Senate District 19</t>
        </is>
      </c>
      <c r="C144" s="16" t="inlineStr">
        <is>
          <t>Tameika Isaac Devine</t>
        </is>
      </c>
      <c r="D144" s="16" t="inlineStr">
        <is>
          <t>Democratic</t>
        </is>
      </c>
      <c r="E144" s="21">
        <f>COUNTIFS(Candidates!$C:$C,$A144,Candidates!$L:$L,"D")</f>
        <v/>
      </c>
      <c r="F144" s="21">
        <f>COUNTIFS(Candidates!$C:$C,$A144,Candidates!$L:$L,"R")</f>
        <v/>
      </c>
      <c r="G144" s="21">
        <f>COUNTIFS(Candidates!$C:$C,$A144,Candidates!$L:$L,"I")+COUNTIFS(Candidates!$C:$C,$A144,Candidates!$L:$L,"O")</f>
        <v/>
      </c>
      <c r="H144" s="16" t="n"/>
      <c r="I144" s="16" t="n"/>
      <c r="J144" s="21">
        <f>COUNTIFS(Candidates!$C:$C,$A144,Candidates!$H:$H,"UNKNOWN")+COUNTIFS(Candidates!$C:$C,$A144,Candidates!$H:$H,"LOW")</f>
        <v/>
      </c>
      <c r="K144" s="16" t="n"/>
    </row>
    <row r="145">
      <c r="A145" s="17" t="inlineStr">
        <is>
          <t>SC-Senate-020</t>
        </is>
      </c>
      <c r="B145" s="17" t="inlineStr">
        <is>
          <t>SC Senate District 20</t>
        </is>
      </c>
      <c r="C145" s="17" t="inlineStr">
        <is>
          <t>Ed Sutton</t>
        </is>
      </c>
      <c r="D145" s="17" t="inlineStr">
        <is>
          <t>Democratic</t>
        </is>
      </c>
      <c r="E145" s="21">
        <f>COUNTIFS(Candidates!$C:$C,$A145,Candidates!$L:$L,"D")</f>
        <v/>
      </c>
      <c r="F145" s="21">
        <f>COUNTIFS(Candidates!$C:$C,$A145,Candidates!$L:$L,"R")</f>
        <v/>
      </c>
      <c r="G145" s="21">
        <f>COUNTIFS(Candidates!$C:$C,$A145,Candidates!$L:$L,"I")+COUNTIFS(Candidates!$C:$C,$A145,Candidates!$L:$L,"O")</f>
        <v/>
      </c>
      <c r="H145" s="17" t="n"/>
      <c r="I145" s="17" t="n"/>
      <c r="J145" s="21">
        <f>COUNTIFS(Candidates!$C:$C,$A145,Candidates!$H:$H,"UNKNOWN")+COUNTIFS(Candidates!$C:$C,$A145,Candidates!$H:$H,"LOW")</f>
        <v/>
      </c>
      <c r="K145" s="17" t="n"/>
    </row>
    <row r="146">
      <c r="A146" s="16" t="inlineStr">
        <is>
          <t>SC-Senate-021</t>
        </is>
      </c>
      <c r="B146" s="16" t="inlineStr">
        <is>
          <t>SC Senate District 21</t>
        </is>
      </c>
      <c r="C146" s="16" t="inlineStr">
        <is>
          <t>Darrell Jackson</t>
        </is>
      </c>
      <c r="D146" s="16" t="inlineStr">
        <is>
          <t>Democratic</t>
        </is>
      </c>
      <c r="E146" s="21">
        <f>COUNTIFS(Candidates!$C:$C,$A146,Candidates!$L:$L,"D")</f>
        <v/>
      </c>
      <c r="F146" s="21">
        <f>COUNTIFS(Candidates!$C:$C,$A146,Candidates!$L:$L,"R")</f>
        <v/>
      </c>
      <c r="G146" s="21">
        <f>COUNTIFS(Candidates!$C:$C,$A146,Candidates!$L:$L,"I")+COUNTIFS(Candidates!$C:$C,$A146,Candidates!$L:$L,"O")</f>
        <v/>
      </c>
      <c r="H146" s="16" t="n"/>
      <c r="I146" s="16" t="n"/>
      <c r="J146" s="21">
        <f>COUNTIFS(Candidates!$C:$C,$A146,Candidates!$H:$H,"UNKNOWN")+COUNTIFS(Candidates!$C:$C,$A146,Candidates!$H:$H,"LOW")</f>
        <v/>
      </c>
      <c r="K146" s="16" t="n"/>
    </row>
    <row r="147">
      <c r="A147" s="17" t="inlineStr">
        <is>
          <t>SC-Senate-022</t>
        </is>
      </c>
      <c r="B147" s="17" t="inlineStr">
        <is>
          <t>SC Senate District 22</t>
        </is>
      </c>
      <c r="C147" s="17" t="inlineStr">
        <is>
          <t>Overture Walker</t>
        </is>
      </c>
      <c r="D147" s="17" t="inlineStr">
        <is>
          <t>Democratic</t>
        </is>
      </c>
      <c r="E147" s="21">
        <f>COUNTIFS(Candidates!$C:$C,$A147,Candidates!$L:$L,"D")</f>
        <v/>
      </c>
      <c r="F147" s="21">
        <f>COUNTIFS(Candidates!$C:$C,$A147,Candidates!$L:$L,"R")</f>
        <v/>
      </c>
      <c r="G147" s="21">
        <f>COUNTIFS(Candidates!$C:$C,$A147,Candidates!$L:$L,"I")+COUNTIFS(Candidates!$C:$C,$A147,Candidates!$L:$L,"O")</f>
        <v/>
      </c>
      <c r="H147" s="17" t="n"/>
      <c r="I147" s="17" t="n"/>
      <c r="J147" s="21">
        <f>COUNTIFS(Candidates!$C:$C,$A147,Candidates!$H:$H,"UNKNOWN")+COUNTIFS(Candidates!$C:$C,$A147,Candidates!$H:$H,"LOW")</f>
        <v/>
      </c>
      <c r="K147" s="17" t="n"/>
    </row>
    <row r="148">
      <c r="A148" s="16" t="inlineStr">
        <is>
          <t>SC-Senate-023</t>
        </is>
      </c>
      <c r="B148" s="16" t="inlineStr">
        <is>
          <t>SC Senate District 23</t>
        </is>
      </c>
      <c r="C148" s="16" t="inlineStr">
        <is>
          <t>Carlisle Kennedy</t>
        </is>
      </c>
      <c r="D148" s="16" t="inlineStr">
        <is>
          <t>Republican</t>
        </is>
      </c>
      <c r="E148" s="21">
        <f>COUNTIFS(Candidates!$C:$C,$A148,Candidates!$L:$L,"D")</f>
        <v/>
      </c>
      <c r="F148" s="21">
        <f>COUNTIFS(Candidates!$C:$C,$A148,Candidates!$L:$L,"R")</f>
        <v/>
      </c>
      <c r="G148" s="21">
        <f>COUNTIFS(Candidates!$C:$C,$A148,Candidates!$L:$L,"I")+COUNTIFS(Candidates!$C:$C,$A148,Candidates!$L:$L,"O")</f>
        <v/>
      </c>
      <c r="H148" s="16" t="n"/>
      <c r="I148" s="16" t="n"/>
      <c r="J148" s="21">
        <f>COUNTIFS(Candidates!$C:$C,$A148,Candidates!$H:$H,"UNKNOWN")+COUNTIFS(Candidates!$C:$C,$A148,Candidates!$H:$H,"LOW")</f>
        <v/>
      </c>
      <c r="K148" s="16" t="n"/>
    </row>
    <row r="149">
      <c r="A149" s="17" t="inlineStr">
        <is>
          <t>SC-Senate-024</t>
        </is>
      </c>
      <c r="B149" s="17" t="inlineStr">
        <is>
          <t>SC Senate District 24</t>
        </is>
      </c>
      <c r="C149" s="17" t="inlineStr">
        <is>
          <t>Tom Young, Jr.</t>
        </is>
      </c>
      <c r="D149" s="17" t="inlineStr">
        <is>
          <t>Republican</t>
        </is>
      </c>
      <c r="E149" s="21">
        <f>COUNTIFS(Candidates!$C:$C,$A149,Candidates!$L:$L,"D")</f>
        <v/>
      </c>
      <c r="F149" s="21">
        <f>COUNTIFS(Candidates!$C:$C,$A149,Candidates!$L:$L,"R")</f>
        <v/>
      </c>
      <c r="G149" s="21">
        <f>COUNTIFS(Candidates!$C:$C,$A149,Candidates!$L:$L,"I")+COUNTIFS(Candidates!$C:$C,$A149,Candidates!$L:$L,"O")</f>
        <v/>
      </c>
      <c r="H149" s="17" t="n"/>
      <c r="I149" s="17" t="n"/>
      <c r="J149" s="21">
        <f>COUNTIFS(Candidates!$C:$C,$A149,Candidates!$H:$H,"UNKNOWN")+COUNTIFS(Candidates!$C:$C,$A149,Candidates!$H:$H,"LOW")</f>
        <v/>
      </c>
      <c r="K149" s="17" t="n"/>
    </row>
    <row r="150">
      <c r="A150" s="16" t="inlineStr">
        <is>
          <t>SC-Senate-025</t>
        </is>
      </c>
      <c r="B150" s="16" t="inlineStr">
        <is>
          <t>SC Senate District 25</t>
        </is>
      </c>
      <c r="C150" s="16" t="inlineStr">
        <is>
          <t>A. Shane Massey</t>
        </is>
      </c>
      <c r="D150" s="16" t="inlineStr">
        <is>
          <t>Republican</t>
        </is>
      </c>
      <c r="E150" s="21">
        <f>COUNTIFS(Candidates!$C:$C,$A150,Candidates!$L:$L,"D")</f>
        <v/>
      </c>
      <c r="F150" s="21">
        <f>COUNTIFS(Candidates!$C:$C,$A150,Candidates!$L:$L,"R")</f>
        <v/>
      </c>
      <c r="G150" s="21">
        <f>COUNTIFS(Candidates!$C:$C,$A150,Candidates!$L:$L,"I")+COUNTIFS(Candidates!$C:$C,$A150,Candidates!$L:$L,"O")</f>
        <v/>
      </c>
      <c r="H150" s="16" t="n"/>
      <c r="I150" s="16" t="n"/>
      <c r="J150" s="21">
        <f>COUNTIFS(Candidates!$C:$C,$A150,Candidates!$H:$H,"UNKNOWN")+COUNTIFS(Candidates!$C:$C,$A150,Candidates!$H:$H,"LOW")</f>
        <v/>
      </c>
      <c r="K150" s="16" t="n"/>
    </row>
    <row r="151">
      <c r="A151" s="17" t="inlineStr">
        <is>
          <t>SC-Senate-026</t>
        </is>
      </c>
      <c r="B151" s="17" t="inlineStr">
        <is>
          <t>SC Senate District 26</t>
        </is>
      </c>
      <c r="C151" s="17" t="inlineStr">
        <is>
          <t>Russell L. Ott</t>
        </is>
      </c>
      <c r="D151" s="17" t="inlineStr">
        <is>
          <t>Democratic</t>
        </is>
      </c>
      <c r="E151" s="21">
        <f>COUNTIFS(Candidates!$C:$C,$A151,Candidates!$L:$L,"D")</f>
        <v/>
      </c>
      <c r="F151" s="21">
        <f>COUNTIFS(Candidates!$C:$C,$A151,Candidates!$L:$L,"R")</f>
        <v/>
      </c>
      <c r="G151" s="21">
        <f>COUNTIFS(Candidates!$C:$C,$A151,Candidates!$L:$L,"I")+COUNTIFS(Candidates!$C:$C,$A151,Candidates!$L:$L,"O")</f>
        <v/>
      </c>
      <c r="H151" s="17" t="n"/>
      <c r="I151" s="17" t="n"/>
      <c r="J151" s="21">
        <f>COUNTIFS(Candidates!$C:$C,$A151,Candidates!$H:$H,"UNKNOWN")+COUNTIFS(Candidates!$C:$C,$A151,Candidates!$H:$H,"LOW")</f>
        <v/>
      </c>
      <c r="K151" s="17" t="n"/>
    </row>
    <row r="152">
      <c r="A152" s="16" t="inlineStr">
        <is>
          <t>SC-Senate-027</t>
        </is>
      </c>
      <c r="B152" s="16" t="inlineStr">
        <is>
          <t>SC Senate District 27</t>
        </is>
      </c>
      <c r="C152" s="16" t="inlineStr">
        <is>
          <t>Allen Blackmon</t>
        </is>
      </c>
      <c r="D152" s="16" t="inlineStr">
        <is>
          <t>Republican</t>
        </is>
      </c>
      <c r="E152" s="21">
        <f>COUNTIFS(Candidates!$C:$C,$A152,Candidates!$L:$L,"D")</f>
        <v/>
      </c>
      <c r="F152" s="21">
        <f>COUNTIFS(Candidates!$C:$C,$A152,Candidates!$L:$L,"R")</f>
        <v/>
      </c>
      <c r="G152" s="21">
        <f>COUNTIFS(Candidates!$C:$C,$A152,Candidates!$L:$L,"I")+COUNTIFS(Candidates!$C:$C,$A152,Candidates!$L:$L,"O")</f>
        <v/>
      </c>
      <c r="H152" s="16" t="n"/>
      <c r="I152" s="16" t="n"/>
      <c r="J152" s="21">
        <f>COUNTIFS(Candidates!$C:$C,$A152,Candidates!$H:$H,"UNKNOWN")+COUNTIFS(Candidates!$C:$C,$A152,Candidates!$H:$H,"LOW")</f>
        <v/>
      </c>
      <c r="K152" s="16" t="n"/>
    </row>
    <row r="153">
      <c r="A153" s="17" t="inlineStr">
        <is>
          <t>SC-Senate-028</t>
        </is>
      </c>
      <c r="B153" s="17" t="inlineStr">
        <is>
          <t>SC Senate District 28</t>
        </is>
      </c>
      <c r="C153" s="17" t="inlineStr">
        <is>
          <t>Greg Hembree</t>
        </is>
      </c>
      <c r="D153" s="17" t="inlineStr">
        <is>
          <t>Republican</t>
        </is>
      </c>
      <c r="E153" s="21">
        <f>COUNTIFS(Candidates!$C:$C,$A153,Candidates!$L:$L,"D")</f>
        <v/>
      </c>
      <c r="F153" s="21">
        <f>COUNTIFS(Candidates!$C:$C,$A153,Candidates!$L:$L,"R")</f>
        <v/>
      </c>
      <c r="G153" s="21">
        <f>COUNTIFS(Candidates!$C:$C,$A153,Candidates!$L:$L,"I")+COUNTIFS(Candidates!$C:$C,$A153,Candidates!$L:$L,"O")</f>
        <v/>
      </c>
      <c r="H153" s="17" t="n"/>
      <c r="I153" s="17" t="n"/>
      <c r="J153" s="21">
        <f>COUNTIFS(Candidates!$C:$C,$A153,Candidates!$H:$H,"UNKNOWN")+COUNTIFS(Candidates!$C:$C,$A153,Candidates!$H:$H,"LOW")</f>
        <v/>
      </c>
      <c r="K153" s="17" t="n"/>
    </row>
    <row r="154">
      <c r="A154" s="16" t="inlineStr">
        <is>
          <t>SC-Senate-029</t>
        </is>
      </c>
      <c r="B154" s="16" t="inlineStr">
        <is>
          <t>SC Senate District 29</t>
        </is>
      </c>
      <c r="C154" s="16" t="inlineStr">
        <is>
          <t>JD Chaplin</t>
        </is>
      </c>
      <c r="D154" s="16" t="inlineStr">
        <is>
          <t>Republican</t>
        </is>
      </c>
      <c r="E154" s="21">
        <f>COUNTIFS(Candidates!$C:$C,$A154,Candidates!$L:$L,"D")</f>
        <v/>
      </c>
      <c r="F154" s="21">
        <f>COUNTIFS(Candidates!$C:$C,$A154,Candidates!$L:$L,"R")</f>
        <v/>
      </c>
      <c r="G154" s="21">
        <f>COUNTIFS(Candidates!$C:$C,$A154,Candidates!$L:$L,"I")+COUNTIFS(Candidates!$C:$C,$A154,Candidates!$L:$L,"O")</f>
        <v/>
      </c>
      <c r="H154" s="16" t="n"/>
      <c r="I154" s="16" t="n"/>
      <c r="J154" s="21">
        <f>COUNTIFS(Candidates!$C:$C,$A154,Candidates!$H:$H,"UNKNOWN")+COUNTIFS(Candidates!$C:$C,$A154,Candidates!$H:$H,"LOW")</f>
        <v/>
      </c>
      <c r="K154" s="16" t="n"/>
    </row>
    <row r="155">
      <c r="A155" s="17" t="inlineStr">
        <is>
          <t>SC-Senate-030</t>
        </is>
      </c>
      <c r="B155" s="17" t="inlineStr">
        <is>
          <t>SC Senate District 30</t>
        </is>
      </c>
      <c r="C155" s="17" t="inlineStr">
        <is>
          <t>Kent M. Williams</t>
        </is>
      </c>
      <c r="D155" s="17" t="inlineStr">
        <is>
          <t>Democratic</t>
        </is>
      </c>
      <c r="E155" s="21">
        <f>COUNTIFS(Candidates!$C:$C,$A155,Candidates!$L:$L,"D")</f>
        <v/>
      </c>
      <c r="F155" s="21">
        <f>COUNTIFS(Candidates!$C:$C,$A155,Candidates!$L:$L,"R")</f>
        <v/>
      </c>
      <c r="G155" s="21">
        <f>COUNTIFS(Candidates!$C:$C,$A155,Candidates!$L:$L,"I")+COUNTIFS(Candidates!$C:$C,$A155,Candidates!$L:$L,"O")</f>
        <v/>
      </c>
      <c r="H155" s="17" t="n"/>
      <c r="I155" s="17" t="n"/>
      <c r="J155" s="21">
        <f>COUNTIFS(Candidates!$C:$C,$A155,Candidates!$H:$H,"UNKNOWN")+COUNTIFS(Candidates!$C:$C,$A155,Candidates!$H:$H,"LOW")</f>
        <v/>
      </c>
      <c r="K155" s="17" t="n"/>
    </row>
    <row r="156">
      <c r="A156" s="16" t="inlineStr">
        <is>
          <t>SC-Senate-031</t>
        </is>
      </c>
      <c r="B156" s="16" t="inlineStr">
        <is>
          <t>SC Senate District 31</t>
        </is>
      </c>
      <c r="C156" s="16" t="inlineStr">
        <is>
          <t>Mike Reichenbach</t>
        </is>
      </c>
      <c r="D156" s="16" t="inlineStr">
        <is>
          <t>Republican</t>
        </is>
      </c>
      <c r="E156" s="21">
        <f>COUNTIFS(Candidates!$C:$C,$A156,Candidates!$L:$L,"D")</f>
        <v/>
      </c>
      <c r="F156" s="21">
        <f>COUNTIFS(Candidates!$C:$C,$A156,Candidates!$L:$L,"R")</f>
        <v/>
      </c>
      <c r="G156" s="21">
        <f>COUNTIFS(Candidates!$C:$C,$A156,Candidates!$L:$L,"I")+COUNTIFS(Candidates!$C:$C,$A156,Candidates!$L:$L,"O")</f>
        <v/>
      </c>
      <c r="H156" s="16" t="n"/>
      <c r="I156" s="16" t="n"/>
      <c r="J156" s="21">
        <f>COUNTIFS(Candidates!$C:$C,$A156,Candidates!$H:$H,"UNKNOWN")+COUNTIFS(Candidates!$C:$C,$A156,Candidates!$H:$H,"LOW")</f>
        <v/>
      </c>
      <c r="K156" s="16" t="n"/>
    </row>
    <row r="157">
      <c r="A157" s="17" t="inlineStr">
        <is>
          <t>SC-Senate-032</t>
        </is>
      </c>
      <c r="B157" s="17" t="inlineStr">
        <is>
          <t>SC Senate District 32</t>
        </is>
      </c>
      <c r="C157" s="17" t="inlineStr">
        <is>
          <t>Ronnie A. Sabb</t>
        </is>
      </c>
      <c r="D157" s="17" t="inlineStr">
        <is>
          <t>Democratic</t>
        </is>
      </c>
      <c r="E157" s="21">
        <f>COUNTIFS(Candidates!$C:$C,$A157,Candidates!$L:$L,"D")</f>
        <v/>
      </c>
      <c r="F157" s="21">
        <f>COUNTIFS(Candidates!$C:$C,$A157,Candidates!$L:$L,"R")</f>
        <v/>
      </c>
      <c r="G157" s="21">
        <f>COUNTIFS(Candidates!$C:$C,$A157,Candidates!$L:$L,"I")+COUNTIFS(Candidates!$C:$C,$A157,Candidates!$L:$L,"O")</f>
        <v/>
      </c>
      <c r="H157" s="17" t="n"/>
      <c r="I157" s="17" t="n"/>
      <c r="J157" s="21">
        <f>COUNTIFS(Candidates!$C:$C,$A157,Candidates!$H:$H,"UNKNOWN")+COUNTIFS(Candidates!$C:$C,$A157,Candidates!$H:$H,"LOW")</f>
        <v/>
      </c>
      <c r="K157" s="17" t="n"/>
    </row>
    <row r="158">
      <c r="A158" s="16" t="inlineStr">
        <is>
          <t>SC-Senate-033</t>
        </is>
      </c>
      <c r="B158" s="16" t="inlineStr">
        <is>
          <t>SC Senate District 33</t>
        </is>
      </c>
      <c r="C158" s="16" t="inlineStr">
        <is>
          <t>Luke A. Rankin</t>
        </is>
      </c>
      <c r="D158" s="16" t="inlineStr">
        <is>
          <t>Republican</t>
        </is>
      </c>
      <c r="E158" s="21">
        <f>COUNTIFS(Candidates!$C:$C,$A158,Candidates!$L:$L,"D")</f>
        <v/>
      </c>
      <c r="F158" s="21">
        <f>COUNTIFS(Candidates!$C:$C,$A158,Candidates!$L:$L,"R")</f>
        <v/>
      </c>
      <c r="G158" s="21">
        <f>COUNTIFS(Candidates!$C:$C,$A158,Candidates!$L:$L,"I")+COUNTIFS(Candidates!$C:$C,$A158,Candidates!$L:$L,"O")</f>
        <v/>
      </c>
      <c r="H158" s="16" t="n"/>
      <c r="I158" s="16" t="n"/>
      <c r="J158" s="21">
        <f>COUNTIFS(Candidates!$C:$C,$A158,Candidates!$H:$H,"UNKNOWN")+COUNTIFS(Candidates!$C:$C,$A158,Candidates!$H:$H,"LOW")</f>
        <v/>
      </c>
      <c r="K158" s="16" t="n"/>
    </row>
    <row r="159">
      <c r="A159" s="17" t="inlineStr">
        <is>
          <t>SC-Senate-034</t>
        </is>
      </c>
      <c r="B159" s="17" t="inlineStr">
        <is>
          <t>SC Senate District 34</t>
        </is>
      </c>
      <c r="C159" s="17" t="inlineStr">
        <is>
          <t>Stephen L. Goldfinch</t>
        </is>
      </c>
      <c r="D159" s="17" t="inlineStr">
        <is>
          <t>Republican</t>
        </is>
      </c>
      <c r="E159" s="21">
        <f>COUNTIFS(Candidates!$C:$C,$A159,Candidates!$L:$L,"D")</f>
        <v/>
      </c>
      <c r="F159" s="21">
        <f>COUNTIFS(Candidates!$C:$C,$A159,Candidates!$L:$L,"R")</f>
        <v/>
      </c>
      <c r="G159" s="21">
        <f>COUNTIFS(Candidates!$C:$C,$A159,Candidates!$L:$L,"I")+COUNTIFS(Candidates!$C:$C,$A159,Candidates!$L:$L,"O")</f>
        <v/>
      </c>
      <c r="H159" s="17" t="n"/>
      <c r="I159" s="17" t="n"/>
      <c r="J159" s="21">
        <f>COUNTIFS(Candidates!$C:$C,$A159,Candidates!$H:$H,"UNKNOWN")+COUNTIFS(Candidates!$C:$C,$A159,Candidates!$H:$H,"LOW")</f>
        <v/>
      </c>
      <c r="K159" s="17" t="n"/>
    </row>
    <row r="160">
      <c r="A160" s="16" t="inlineStr">
        <is>
          <t>SC-Senate-035</t>
        </is>
      </c>
      <c r="B160" s="16" t="inlineStr">
        <is>
          <t>SC Senate District 35</t>
        </is>
      </c>
      <c r="C160" s="16" t="inlineStr">
        <is>
          <t>Jeffrey R. Graham</t>
        </is>
      </c>
      <c r="D160" s="16" t="inlineStr">
        <is>
          <t>Democratic</t>
        </is>
      </c>
      <c r="E160" s="21">
        <f>COUNTIFS(Candidates!$C:$C,$A160,Candidates!$L:$L,"D")</f>
        <v/>
      </c>
      <c r="F160" s="21">
        <f>COUNTIFS(Candidates!$C:$C,$A160,Candidates!$L:$L,"R")</f>
        <v/>
      </c>
      <c r="G160" s="21">
        <f>COUNTIFS(Candidates!$C:$C,$A160,Candidates!$L:$L,"I")+COUNTIFS(Candidates!$C:$C,$A160,Candidates!$L:$L,"O")</f>
        <v/>
      </c>
      <c r="H160" s="16" t="n"/>
      <c r="I160" s="16" t="n"/>
      <c r="J160" s="21">
        <f>COUNTIFS(Candidates!$C:$C,$A160,Candidates!$H:$H,"UNKNOWN")+COUNTIFS(Candidates!$C:$C,$A160,Candidates!$H:$H,"LOW")</f>
        <v/>
      </c>
      <c r="K160" s="16" t="n"/>
    </row>
    <row r="161">
      <c r="A161" s="17" t="inlineStr">
        <is>
          <t>SC-Senate-036</t>
        </is>
      </c>
      <c r="B161" s="17" t="inlineStr">
        <is>
          <t>SC Senate District 36</t>
        </is>
      </c>
      <c r="C161" s="17" t="inlineStr">
        <is>
          <t>Jeff Zell</t>
        </is>
      </c>
      <c r="D161" s="17" t="inlineStr">
        <is>
          <t>Republican</t>
        </is>
      </c>
      <c r="E161" s="21">
        <f>COUNTIFS(Candidates!$C:$C,$A161,Candidates!$L:$L,"D")</f>
        <v/>
      </c>
      <c r="F161" s="21">
        <f>COUNTIFS(Candidates!$C:$C,$A161,Candidates!$L:$L,"R")</f>
        <v/>
      </c>
      <c r="G161" s="21">
        <f>COUNTIFS(Candidates!$C:$C,$A161,Candidates!$L:$L,"I")+COUNTIFS(Candidates!$C:$C,$A161,Candidates!$L:$L,"O")</f>
        <v/>
      </c>
      <c r="H161" s="17" t="n"/>
      <c r="I161" s="17" t="n"/>
      <c r="J161" s="21">
        <f>COUNTIFS(Candidates!$C:$C,$A161,Candidates!$H:$H,"UNKNOWN")+COUNTIFS(Candidates!$C:$C,$A161,Candidates!$H:$H,"LOW")</f>
        <v/>
      </c>
      <c r="K161" s="17" t="n"/>
    </row>
    <row r="162">
      <c r="A162" s="16" t="inlineStr">
        <is>
          <t>SC-Senate-037</t>
        </is>
      </c>
      <c r="B162" s="16" t="inlineStr">
        <is>
          <t>SC Senate District 37</t>
        </is>
      </c>
      <c r="C162" s="16" t="inlineStr">
        <is>
          <t>Lawrence K. "Larry" Grooms</t>
        </is>
      </c>
      <c r="D162" s="16" t="inlineStr">
        <is>
          <t>Republican</t>
        </is>
      </c>
      <c r="E162" s="21">
        <f>COUNTIFS(Candidates!$C:$C,$A162,Candidates!$L:$L,"D")</f>
        <v/>
      </c>
      <c r="F162" s="21">
        <f>COUNTIFS(Candidates!$C:$C,$A162,Candidates!$L:$L,"R")</f>
        <v/>
      </c>
      <c r="G162" s="21">
        <f>COUNTIFS(Candidates!$C:$C,$A162,Candidates!$L:$L,"I")+COUNTIFS(Candidates!$C:$C,$A162,Candidates!$L:$L,"O")</f>
        <v/>
      </c>
      <c r="H162" s="16" t="n"/>
      <c r="I162" s="16" t="n"/>
      <c r="J162" s="21">
        <f>COUNTIFS(Candidates!$C:$C,$A162,Candidates!$H:$H,"UNKNOWN")+COUNTIFS(Candidates!$C:$C,$A162,Candidates!$H:$H,"LOW")</f>
        <v/>
      </c>
      <c r="K162" s="16" t="n"/>
    </row>
    <row r="163">
      <c r="A163" s="17" t="inlineStr">
        <is>
          <t>SC-Senate-038</t>
        </is>
      </c>
      <c r="B163" s="17" t="inlineStr">
        <is>
          <t>SC Senate District 38</t>
        </is>
      </c>
      <c r="C163" s="17" t="inlineStr">
        <is>
          <t>Sean M. Bennett</t>
        </is>
      </c>
      <c r="D163" s="17" t="inlineStr">
        <is>
          <t>Republican</t>
        </is>
      </c>
      <c r="E163" s="21">
        <f>COUNTIFS(Candidates!$C:$C,$A163,Candidates!$L:$L,"D")</f>
        <v/>
      </c>
      <c r="F163" s="21">
        <f>COUNTIFS(Candidates!$C:$C,$A163,Candidates!$L:$L,"R")</f>
        <v/>
      </c>
      <c r="G163" s="21">
        <f>COUNTIFS(Candidates!$C:$C,$A163,Candidates!$L:$L,"I")+COUNTIFS(Candidates!$C:$C,$A163,Candidates!$L:$L,"O")</f>
        <v/>
      </c>
      <c r="H163" s="17" t="n"/>
      <c r="I163" s="17" t="n"/>
      <c r="J163" s="21">
        <f>COUNTIFS(Candidates!$C:$C,$A163,Candidates!$H:$H,"UNKNOWN")+COUNTIFS(Candidates!$C:$C,$A163,Candidates!$H:$H,"LOW")</f>
        <v/>
      </c>
      <c r="K163" s="17" t="n"/>
    </row>
    <row r="164">
      <c r="A164" s="16" t="inlineStr">
        <is>
          <t>SC-Senate-039</t>
        </is>
      </c>
      <c r="B164" s="16" t="inlineStr">
        <is>
          <t>SC Senate District 39</t>
        </is>
      </c>
      <c r="C164" s="16" t="inlineStr">
        <is>
          <t>Tom Fernandez</t>
        </is>
      </c>
      <c r="D164" s="16" t="inlineStr">
        <is>
          <t>Republican</t>
        </is>
      </c>
      <c r="E164" s="21">
        <f>COUNTIFS(Candidates!$C:$C,$A164,Candidates!$L:$L,"D")</f>
        <v/>
      </c>
      <c r="F164" s="21">
        <f>COUNTIFS(Candidates!$C:$C,$A164,Candidates!$L:$L,"R")</f>
        <v/>
      </c>
      <c r="G164" s="21">
        <f>COUNTIFS(Candidates!$C:$C,$A164,Candidates!$L:$L,"I")+COUNTIFS(Candidates!$C:$C,$A164,Candidates!$L:$L,"O")</f>
        <v/>
      </c>
      <c r="H164" s="16" t="n"/>
      <c r="I164" s="16" t="n"/>
      <c r="J164" s="21">
        <f>COUNTIFS(Candidates!$C:$C,$A164,Candidates!$H:$H,"UNKNOWN")+COUNTIFS(Candidates!$C:$C,$A164,Candidates!$H:$H,"LOW")</f>
        <v/>
      </c>
      <c r="K164" s="16" t="n"/>
    </row>
    <row r="165">
      <c r="A165" s="17" t="inlineStr">
        <is>
          <t>SC-Senate-040</t>
        </is>
      </c>
      <c r="B165" s="17" t="inlineStr">
        <is>
          <t>SC Senate District 40</t>
        </is>
      </c>
      <c r="C165" s="17" t="inlineStr">
        <is>
          <t>Brad Hutto</t>
        </is>
      </c>
      <c r="D165" s="17" t="inlineStr">
        <is>
          <t>Democratic</t>
        </is>
      </c>
      <c r="E165" s="21">
        <f>COUNTIFS(Candidates!$C:$C,$A165,Candidates!$L:$L,"D")</f>
        <v/>
      </c>
      <c r="F165" s="21">
        <f>COUNTIFS(Candidates!$C:$C,$A165,Candidates!$L:$L,"R")</f>
        <v/>
      </c>
      <c r="G165" s="21">
        <f>COUNTIFS(Candidates!$C:$C,$A165,Candidates!$L:$L,"I")+COUNTIFS(Candidates!$C:$C,$A165,Candidates!$L:$L,"O")</f>
        <v/>
      </c>
      <c r="H165" s="17" t="n"/>
      <c r="I165" s="17" t="n"/>
      <c r="J165" s="21">
        <f>COUNTIFS(Candidates!$C:$C,$A165,Candidates!$H:$H,"UNKNOWN")+COUNTIFS(Candidates!$C:$C,$A165,Candidates!$H:$H,"LOW")</f>
        <v/>
      </c>
      <c r="K165" s="17" t="n"/>
    </row>
    <row r="166">
      <c r="A166" s="16" t="inlineStr">
        <is>
          <t>SC-Senate-041</t>
        </is>
      </c>
      <c r="B166" s="16" t="inlineStr">
        <is>
          <t>SC Senate District 41</t>
        </is>
      </c>
      <c r="C166" s="16" t="inlineStr">
        <is>
          <t>Matthew W. "Matt" Leber</t>
        </is>
      </c>
      <c r="D166" s="16" t="inlineStr">
        <is>
          <t>Republican</t>
        </is>
      </c>
      <c r="E166" s="21">
        <f>COUNTIFS(Candidates!$C:$C,$A166,Candidates!$L:$L,"D")</f>
        <v/>
      </c>
      <c r="F166" s="21">
        <f>COUNTIFS(Candidates!$C:$C,$A166,Candidates!$L:$L,"R")</f>
        <v/>
      </c>
      <c r="G166" s="21">
        <f>COUNTIFS(Candidates!$C:$C,$A166,Candidates!$L:$L,"I")+COUNTIFS(Candidates!$C:$C,$A166,Candidates!$L:$L,"O")</f>
        <v/>
      </c>
      <c r="H166" s="16" t="n"/>
      <c r="I166" s="16" t="n"/>
      <c r="J166" s="21">
        <f>COUNTIFS(Candidates!$C:$C,$A166,Candidates!$H:$H,"UNKNOWN")+COUNTIFS(Candidates!$C:$C,$A166,Candidates!$H:$H,"LOW")</f>
        <v/>
      </c>
      <c r="K166" s="16" t="n"/>
    </row>
    <row r="167">
      <c r="A167" s="17" t="inlineStr">
        <is>
          <t>SC-Senate-042</t>
        </is>
      </c>
      <c r="B167" s="17" t="inlineStr">
        <is>
          <t>SC Senate District 42</t>
        </is>
      </c>
      <c r="C167" s="17" t="inlineStr">
        <is>
          <t>Deon T. Tedder</t>
        </is>
      </c>
      <c r="D167" s="17" t="inlineStr">
        <is>
          <t>Democratic</t>
        </is>
      </c>
      <c r="E167" s="21">
        <f>COUNTIFS(Candidates!$C:$C,$A167,Candidates!$L:$L,"D")</f>
        <v/>
      </c>
      <c r="F167" s="21">
        <f>COUNTIFS(Candidates!$C:$C,$A167,Candidates!$L:$L,"R")</f>
        <v/>
      </c>
      <c r="G167" s="21">
        <f>COUNTIFS(Candidates!$C:$C,$A167,Candidates!$L:$L,"I")+COUNTIFS(Candidates!$C:$C,$A167,Candidates!$L:$L,"O")</f>
        <v/>
      </c>
      <c r="H167" s="17" t="n"/>
      <c r="I167" s="17" t="n"/>
      <c r="J167" s="21">
        <f>COUNTIFS(Candidates!$C:$C,$A167,Candidates!$H:$H,"UNKNOWN")+COUNTIFS(Candidates!$C:$C,$A167,Candidates!$H:$H,"LOW")</f>
        <v/>
      </c>
      <c r="K167" s="17" t="n"/>
    </row>
    <row r="168">
      <c r="A168" s="16" t="inlineStr">
        <is>
          <t>SC-Senate-043</t>
        </is>
      </c>
      <c r="B168" s="16" t="inlineStr">
        <is>
          <t>SC Senate District 43</t>
        </is>
      </c>
      <c r="C168" s="16" t="inlineStr">
        <is>
          <t>George E. "Chip" Campsen III</t>
        </is>
      </c>
      <c r="D168" s="16" t="inlineStr">
        <is>
          <t>Republican</t>
        </is>
      </c>
      <c r="E168" s="21">
        <f>COUNTIFS(Candidates!$C:$C,$A168,Candidates!$L:$L,"D")</f>
        <v/>
      </c>
      <c r="F168" s="21">
        <f>COUNTIFS(Candidates!$C:$C,$A168,Candidates!$L:$L,"R")</f>
        <v/>
      </c>
      <c r="G168" s="21">
        <f>COUNTIFS(Candidates!$C:$C,$A168,Candidates!$L:$L,"I")+COUNTIFS(Candidates!$C:$C,$A168,Candidates!$L:$L,"O")</f>
        <v/>
      </c>
      <c r="H168" s="16" t="n"/>
      <c r="I168" s="16" t="n"/>
      <c r="J168" s="21">
        <f>COUNTIFS(Candidates!$C:$C,$A168,Candidates!$H:$H,"UNKNOWN")+COUNTIFS(Candidates!$C:$C,$A168,Candidates!$H:$H,"LOW")</f>
        <v/>
      </c>
      <c r="K168" s="16" t="n"/>
    </row>
    <row r="169">
      <c r="A169" s="17" t="inlineStr">
        <is>
          <t>SC-Senate-044</t>
        </is>
      </c>
      <c r="B169" s="17" t="inlineStr">
        <is>
          <t>SC Senate District 44</t>
        </is>
      </c>
      <c r="C169" s="17" t="inlineStr">
        <is>
          <t>Brian Adams</t>
        </is>
      </c>
      <c r="D169" s="17" t="inlineStr">
        <is>
          <t>Republican</t>
        </is>
      </c>
      <c r="E169" s="21">
        <f>COUNTIFS(Candidates!$C:$C,$A169,Candidates!$L:$L,"D")</f>
        <v/>
      </c>
      <c r="F169" s="21">
        <f>COUNTIFS(Candidates!$C:$C,$A169,Candidates!$L:$L,"R")</f>
        <v/>
      </c>
      <c r="G169" s="21">
        <f>COUNTIFS(Candidates!$C:$C,$A169,Candidates!$L:$L,"I")+COUNTIFS(Candidates!$C:$C,$A169,Candidates!$L:$L,"O")</f>
        <v/>
      </c>
      <c r="H169" s="17" t="n"/>
      <c r="I169" s="17" t="n"/>
      <c r="J169" s="21">
        <f>COUNTIFS(Candidates!$C:$C,$A169,Candidates!$H:$H,"UNKNOWN")+COUNTIFS(Candidates!$C:$C,$A169,Candidates!$H:$H,"LOW")</f>
        <v/>
      </c>
      <c r="K169" s="17" t="n"/>
    </row>
    <row r="170">
      <c r="A170" s="16" t="inlineStr">
        <is>
          <t>SC-Senate-045</t>
        </is>
      </c>
      <c r="B170" s="16" t="inlineStr">
        <is>
          <t>SC Senate District 45</t>
        </is>
      </c>
      <c r="C170" s="16" t="inlineStr">
        <is>
          <t>Margie Bright Matthews</t>
        </is>
      </c>
      <c r="D170" s="16" t="inlineStr">
        <is>
          <t>Democratic</t>
        </is>
      </c>
      <c r="E170" s="21">
        <f>COUNTIFS(Candidates!$C:$C,$A170,Candidates!$L:$L,"D")</f>
        <v/>
      </c>
      <c r="F170" s="21">
        <f>COUNTIFS(Candidates!$C:$C,$A170,Candidates!$L:$L,"R")</f>
        <v/>
      </c>
      <c r="G170" s="21">
        <f>COUNTIFS(Candidates!$C:$C,$A170,Candidates!$L:$L,"I")+COUNTIFS(Candidates!$C:$C,$A170,Candidates!$L:$L,"O")</f>
        <v/>
      </c>
      <c r="H170" s="16" t="n"/>
      <c r="I170" s="16" t="n"/>
      <c r="J170" s="21">
        <f>COUNTIFS(Candidates!$C:$C,$A170,Candidates!$H:$H,"UNKNOWN")+COUNTIFS(Candidates!$C:$C,$A170,Candidates!$H:$H,"LOW")</f>
        <v/>
      </c>
      <c r="K170" s="16" t="n"/>
    </row>
    <row r="171">
      <c r="A171" s="17" t="inlineStr">
        <is>
          <t>SC-Senate-046</t>
        </is>
      </c>
      <c r="B171" s="17" t="inlineStr">
        <is>
          <t>SC Senate District 46</t>
        </is>
      </c>
      <c r="C171" s="17" t="inlineStr">
        <is>
          <t>Tom Davis</t>
        </is>
      </c>
      <c r="D171" s="17" t="inlineStr">
        <is>
          <t>Republican</t>
        </is>
      </c>
      <c r="E171" s="21">
        <f>COUNTIFS(Candidates!$C:$C,$A171,Candidates!$L:$L,"D")</f>
        <v/>
      </c>
      <c r="F171" s="21">
        <f>COUNTIFS(Candidates!$C:$C,$A171,Candidates!$L:$L,"R")</f>
        <v/>
      </c>
      <c r="G171" s="21">
        <f>COUNTIFS(Candidates!$C:$C,$A171,Candidates!$L:$L,"I")+COUNTIFS(Candidates!$C:$C,$A171,Candidates!$L:$L,"O")</f>
        <v/>
      </c>
      <c r="H171" s="17" t="n"/>
      <c r="I171" s="17" t="n"/>
      <c r="J171" s="21">
        <f>COUNTIFS(Candidates!$C:$C,$A171,Candidates!$H:$H,"UNKNOWN")+COUNTIFS(Candidates!$C:$C,$A171,Candidates!$H:$H,"LOW")</f>
        <v/>
      </c>
      <c r="K171" s="17" t="n"/>
    </row>
  </sheetData>
  <conditionalFormatting sqref="D2:D200">
    <cfRule type="expression" priority="1" dxfId="0">
      <formula>$D2="Republican"</formula>
    </cfRule>
    <cfRule type="expression" priority="2" dxfId="1">
      <formula>$D2="Democratic"</formula>
    </cfRule>
  </conditionalFormatting>
  <conditionalFormatting sqref="I2:I200">
    <cfRule type="expression" priority="3" dxfId="9">
      <formula>$I2="High-D-Recruit"</formula>
    </cfRule>
    <cfRule type="expression" priority="4" dxfId="7">
      <formula>$I2="Open-Seat"</formula>
    </cfRule>
    <cfRule type="expression" priority="5" dxfId="6">
      <formula>$I2="Monitor"</formula>
    </cfRule>
    <cfRule type="expression" priority="6" dxfId="5">
      <formula>$I2="Low"</formula>
    </cfRule>
  </conditionalFormatting>
  <conditionalFormatting sqref="H2:H200">
    <cfRule type="expression" priority="7" dxfId="10">
      <formula>$H2="Contested"</formula>
    </cfRule>
    <cfRule type="expression" priority="8" dxfId="0">
      <formula>$H2="Unopposed-R"</formula>
    </cfRule>
    <cfRule type="expression" priority="9" dxfId="1">
      <formula>$H2="Unopposed-D"</formula>
    </cfRule>
    <cfRule type="expression" priority="10" dxfId="11">
      <formula>$H2="Open"</formula>
    </cfRule>
  </conditionalFormatting>
  <conditionalFormatting sqref="J2:J200">
    <cfRule type="expression" priority="11" dxfId="12">
      <formula>$J2&gt;0</formula>
    </cfRule>
  </conditionalFormatting>
  <dataValidations count="2">
    <dataValidation sqref="H2:H200" showDropDown="0" showInputMessage="0" showErrorMessage="0" allowBlank="1" type="list">
      <formula1>"Contested,Unopposed-R,Unopposed-D,Open,Unknown"</formula1>
    </dataValidation>
    <dataValidation sqref="I2:I200" showDropDown="0" showInputMessage="0" showErrorMessage="0" allowBlank="1" prompt="High-D-Recruit: Unopposed-R, no D filed" type="list">
      <formula1>"High-D-Recruit,Open-Seat,Monitor,Low"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5" customWidth="1" min="2" max="2"/>
    <col width="16" customWidth="1" min="3" max="3"/>
    <col width="14" customWidth="1" min="4" max="4"/>
    <col width="12" customWidth="1" min="5" max="5"/>
    <col width="50" customWidth="1" min="6" max="6"/>
    <col width="35" customWidth="1" min="7" max="7"/>
    <col width="35" customWidth="1" min="8" max="8"/>
    <col width="14" customWidth="1" min="9" max="9"/>
    <col width="15" customWidth="1" min="10" max="10"/>
    <col width="30" customWidth="1" min="11" max="11"/>
    <col width="14" customWidth="1" min="12" max="12"/>
    <col width="14" customWidth="1" min="13" max="13"/>
  </cols>
  <sheetData>
    <row r="1">
      <c r="A1" s="15" t="inlineStr">
        <is>
          <t>report_id</t>
        </is>
      </c>
      <c r="B1" s="15" t="inlineStr">
        <is>
          <t>candidate_name</t>
        </is>
      </c>
      <c r="C1" s="15" t="inlineStr">
        <is>
          <t>district_id</t>
        </is>
      </c>
      <c r="D1" s="15" t="inlineStr">
        <is>
          <t>detected_party</t>
        </is>
      </c>
      <c r="E1" s="15" t="inlineStr">
        <is>
          <t>confidence</t>
        </is>
      </c>
      <c r="F1" s="15" t="inlineStr">
        <is>
          <t>suggested_search</t>
        </is>
      </c>
      <c r="G1" s="15" t="inlineStr">
        <is>
          <t>scdp_link</t>
        </is>
      </c>
      <c r="H1" s="15" t="inlineStr">
        <is>
          <t>scgop_link</t>
        </is>
      </c>
      <c r="I1" s="15" t="inlineStr">
        <is>
          <t>status</t>
        </is>
      </c>
      <c r="J1" s="15" t="inlineStr">
        <is>
          <t>assigned_to</t>
        </is>
      </c>
      <c r="K1" s="15" t="inlineStr">
        <is>
          <t>resolution_notes</t>
        </is>
      </c>
      <c r="L1" s="15" t="inlineStr">
        <is>
          <t>resolved_date</t>
        </is>
      </c>
      <c r="M1" s="15" t="inlineStr">
        <is>
          <t>added_date</t>
        </is>
      </c>
    </row>
    <row r="2">
      <c r="A2" s="16" t="n"/>
      <c r="B2" s="16" t="inlineStr">
        <is>
          <t>Morgan, Tyler A</t>
        </is>
      </c>
      <c r="C2" s="16" t="inlineStr">
        <is>
          <t>SC-House-091</t>
        </is>
      </c>
      <c r="D2" s="16" t="n"/>
      <c r="E2" s="16" t="inlineStr">
        <is>
          <t>UNKNOWN</t>
        </is>
      </c>
      <c r="F2" s="16" t="inlineStr">
        <is>
          <t>"Morgan, Tyler A" South Carolina Democrat; "Morgan, Tyler A" South Carolina Republican; "Morgan, Tyler A" SC House of Representatives District 91</t>
        </is>
      </c>
      <c r="G2" s="16" t="n"/>
      <c r="H2" s="16" t="n"/>
      <c r="I2" s="16" t="inlineStr">
        <is>
          <t>Pending</t>
        </is>
      </c>
      <c r="J2" s="16" t="n"/>
      <c r="K2" s="16" t="n"/>
      <c r="L2" s="16" t="n"/>
      <c r="M2" s="16" t="n"/>
    </row>
    <row r="3">
      <c r="A3" s="17" t="n"/>
      <c r="B3" s="17" t="inlineStr">
        <is>
          <t>Linvill, Claiborne</t>
        </is>
      </c>
      <c r="C3" s="17" t="inlineStr">
        <is>
          <t>SC-House-003</t>
        </is>
      </c>
      <c r="D3" s="17" t="n"/>
      <c r="E3" s="17" t="inlineStr">
        <is>
          <t>UNKNOWN</t>
        </is>
      </c>
      <c r="F3" s="17" t="inlineStr">
        <is>
          <t>"Linvill, Claiborne" South Carolina Democrat; "Linvill, Claiborne" South Carolina Republican; "Linvill, Claiborne" SC House of Representatives District 3</t>
        </is>
      </c>
      <c r="G3" s="17" t="n"/>
      <c r="H3" s="17" t="n"/>
      <c r="I3" s="17" t="inlineStr">
        <is>
          <t>Pending</t>
        </is>
      </c>
      <c r="J3" s="17" t="n"/>
      <c r="K3" s="17" t="n"/>
      <c r="L3" s="17" t="n"/>
      <c r="M3" s="17" t="n"/>
    </row>
    <row r="4">
      <c r="A4" s="16" t="n"/>
      <c r="B4" s="16" t="inlineStr">
        <is>
          <t>Burgett, Joseph M</t>
        </is>
      </c>
      <c r="C4" s="16" t="inlineStr">
        <is>
          <t>SC-House-003</t>
        </is>
      </c>
      <c r="D4" s="16" t="n"/>
      <c r="E4" s="16" t="inlineStr">
        <is>
          <t>UNKNOWN</t>
        </is>
      </c>
      <c r="F4" s="16" t="inlineStr">
        <is>
          <t>"Burgett, Joseph M" South Carolina Democrat; "Burgett, Joseph M" South Carolina Republican; "Burgett, Joseph M" SC House of Representatives District 3</t>
        </is>
      </c>
      <c r="G4" s="16" t="n"/>
      <c r="H4" s="16" t="n"/>
      <c r="I4" s="16" t="inlineStr">
        <is>
          <t>Pending</t>
        </is>
      </c>
      <c r="J4" s="16" t="n"/>
      <c r="K4" s="16" t="n"/>
      <c r="L4" s="16" t="n"/>
      <c r="M4" s="16" t="n"/>
    </row>
    <row r="5">
      <c r="A5" s="17" t="n"/>
      <c r="B5" s="17" t="inlineStr">
        <is>
          <t>Orr, Patrick S</t>
        </is>
      </c>
      <c r="C5" s="17" t="inlineStr">
        <is>
          <t>SC-House-008</t>
        </is>
      </c>
      <c r="D5" s="17" t="n"/>
      <c r="E5" s="17" t="inlineStr">
        <is>
          <t>UNKNOWN</t>
        </is>
      </c>
      <c r="F5" s="17" t="inlineStr">
        <is>
          <t>"Orr, Patrick S" South Carolina Democrat; "Orr, Patrick S" South Carolina Republican; "Orr, Patrick S" SC House of Representatives District 8</t>
        </is>
      </c>
      <c r="G5" s="17" t="n"/>
      <c r="H5" s="17" t="n"/>
      <c r="I5" s="17" t="inlineStr">
        <is>
          <t>Pending</t>
        </is>
      </c>
      <c r="J5" s="17" t="n"/>
      <c r="K5" s="17" t="n"/>
      <c r="L5" s="17" t="n"/>
      <c r="M5" s="17" t="n"/>
    </row>
    <row r="6">
      <c r="A6" s="16" t="n"/>
      <c r="B6" s="16" t="inlineStr">
        <is>
          <t>Carlin, Evelyn A</t>
        </is>
      </c>
      <c r="C6" s="16" t="inlineStr">
        <is>
          <t>SC-House-070</t>
        </is>
      </c>
      <c r="D6" s="16" t="n"/>
      <c r="E6" s="16" t="inlineStr">
        <is>
          <t>UNKNOWN</t>
        </is>
      </c>
      <c r="F6" s="16" t="inlineStr">
        <is>
          <t>"Carlin, Evelyn A" South Carolina Democrat; "Carlin, Evelyn A" South Carolina Republican; "Carlin, Evelyn A" SC House of Representatives District 70</t>
        </is>
      </c>
      <c r="G6" s="16" t="n"/>
      <c r="H6" s="16" t="n"/>
      <c r="I6" s="16" t="inlineStr">
        <is>
          <t>Pending</t>
        </is>
      </c>
      <c r="J6" s="16" t="n"/>
      <c r="K6" s="16" t="n"/>
      <c r="L6" s="16" t="n"/>
      <c r="M6" s="16" t="n"/>
    </row>
    <row r="7">
      <c r="A7" s="17" t="n"/>
      <c r="B7" s="17" t="inlineStr">
        <is>
          <t>Ford, Gregory S</t>
        </is>
      </c>
      <c r="C7" s="17" t="inlineStr">
        <is>
          <t>SC-House-098</t>
        </is>
      </c>
      <c r="D7" s="17" t="n"/>
      <c r="E7" s="17" t="inlineStr">
        <is>
          <t>UNKNOWN</t>
        </is>
      </c>
      <c r="F7" s="17" t="inlineStr">
        <is>
          <t>"Ford, Gregory S" South Carolina Democrat; "Ford, Gregory S" South Carolina Republican; "Ford, Gregory S" SC House of Representatives District 98</t>
        </is>
      </c>
      <c r="G7" s="17" t="n"/>
      <c r="H7" s="17" t="n"/>
      <c r="I7" s="17" t="inlineStr">
        <is>
          <t>Pending</t>
        </is>
      </c>
      <c r="J7" s="17" t="n"/>
      <c r="K7" s="17" t="n"/>
      <c r="L7" s="17" t="n"/>
      <c r="M7" s="17" t="n"/>
    </row>
    <row r="8">
      <c r="A8" s="16" t="n"/>
      <c r="B8" s="16" t="inlineStr">
        <is>
          <t>Ogletree Satani, Sonja R</t>
        </is>
      </c>
      <c r="C8" s="16" t="inlineStr">
        <is>
          <t>SC-House-098</t>
        </is>
      </c>
      <c r="D8" s="16" t="n"/>
      <c r="E8" s="16" t="inlineStr">
        <is>
          <t>UNKNOWN</t>
        </is>
      </c>
      <c r="F8" s="16" t="inlineStr">
        <is>
          <t>"Ogletree Satani, Sonja R" South Carolina Democrat; "Ogletree Satani, Sonja R" South Carolina Republican; "Ogletree Satani, Sonja R" SC House of Representatives District 98</t>
        </is>
      </c>
      <c r="G8" s="16" t="n"/>
      <c r="H8" s="16" t="n"/>
      <c r="I8" s="16" t="inlineStr">
        <is>
          <t>Pending</t>
        </is>
      </c>
      <c r="J8" s="16" t="n"/>
      <c r="K8" s="16" t="n"/>
      <c r="L8" s="16" t="n"/>
      <c r="M8" s="16" t="n"/>
    </row>
    <row r="9">
      <c r="A9" s="17" t="n"/>
      <c r="B9" s="17" t="inlineStr">
        <is>
          <t>Asbill, Steven</t>
        </is>
      </c>
      <c r="C9" s="17" t="inlineStr">
        <is>
          <t>SC-House-085</t>
        </is>
      </c>
      <c r="D9" s="17" t="n"/>
      <c r="E9" s="17" t="inlineStr">
        <is>
          <t>UNKNOWN</t>
        </is>
      </c>
      <c r="F9" s="17" t="inlineStr">
        <is>
          <t>"Asbill, Steven" South Carolina Democrat; "Asbill, Steven" South Carolina Republican; "Asbill, Steven" SC House of Representatives District 85</t>
        </is>
      </c>
      <c r="G9" s="17" t="n"/>
      <c r="H9" s="17" t="n"/>
      <c r="I9" s="17" t="inlineStr">
        <is>
          <t>Pending</t>
        </is>
      </c>
      <c r="J9" s="17" t="n"/>
      <c r="K9" s="17" t="n"/>
      <c r="L9" s="17" t="n"/>
      <c r="M9" s="17" t="n"/>
    </row>
    <row r="10">
      <c r="A10" s="16" t="n"/>
      <c r="B10" s="16" t="inlineStr">
        <is>
          <t>Crosby, Katie W</t>
        </is>
      </c>
      <c r="C10" s="16" t="inlineStr">
        <is>
          <t>SC-House-044</t>
        </is>
      </c>
      <c r="D10" s="16" t="n"/>
      <c r="E10" s="16" t="inlineStr">
        <is>
          <t>UNKNOWN</t>
        </is>
      </c>
      <c r="F10" s="16" t="inlineStr">
        <is>
          <t>"Crosby, Katie W" South Carolina Democrat; "Crosby, Katie W" South Carolina Republican; "Crosby, Katie W" SC House of Representatives District 44</t>
        </is>
      </c>
      <c r="G10" s="16" t="n"/>
      <c r="H10" s="16" t="n"/>
      <c r="I10" s="16" t="inlineStr">
        <is>
          <t>Pending</t>
        </is>
      </c>
      <c r="J10" s="16" t="n"/>
      <c r="K10" s="16" t="n"/>
      <c r="L10" s="16" t="n"/>
      <c r="M10" s="16" t="n"/>
    </row>
    <row r="11">
      <c r="A11" s="17" t="n"/>
      <c r="B11" s="17" t="inlineStr">
        <is>
          <t>McCravy, Katie L</t>
        </is>
      </c>
      <c r="C11" s="17" t="inlineStr">
        <is>
          <t>SC-House-102</t>
        </is>
      </c>
      <c r="D11" s="17" t="n"/>
      <c r="E11" s="17" t="inlineStr">
        <is>
          <t>UNKNOWN</t>
        </is>
      </c>
      <c r="F11" s="17" t="inlineStr">
        <is>
          <t>"McCravy, Katie L" South Carolina Democrat; "McCravy, Katie L" South Carolina Republican; "McCravy, Katie L" SC House of Representatives District 102</t>
        </is>
      </c>
      <c r="G11" s="17" t="n"/>
      <c r="H11" s="17" t="n"/>
      <c r="I11" s="17" t="inlineStr">
        <is>
          <t>Pending</t>
        </is>
      </c>
      <c r="J11" s="17" t="n"/>
      <c r="K11" s="17" t="n"/>
      <c r="L11" s="17" t="n"/>
      <c r="M11" s="17" t="n"/>
    </row>
    <row r="12">
      <c r="A12" s="16" t="n"/>
      <c r="B12" s="16" t="inlineStr">
        <is>
          <t>Walker, Carlton</t>
        </is>
      </c>
      <c r="C12" s="16" t="inlineStr">
        <is>
          <t>SC-House-115</t>
        </is>
      </c>
      <c r="D12" s="16" t="n"/>
      <c r="E12" s="16" t="inlineStr">
        <is>
          <t>UNKNOWN</t>
        </is>
      </c>
      <c r="F12" s="16" t="inlineStr">
        <is>
          <t>"Walker, Carlton" South Carolina Democrat; "Walker, Carlton" South Carolina Republican; "Walker, Carlton" SC House of Representatives District 115</t>
        </is>
      </c>
      <c r="G12" s="16" t="n"/>
      <c r="H12" s="16" t="n"/>
      <c r="I12" s="16" t="inlineStr">
        <is>
          <t>Pending</t>
        </is>
      </c>
      <c r="J12" s="16" t="n"/>
      <c r="K12" s="16" t="n"/>
      <c r="L12" s="16" t="n"/>
      <c r="M12" s="16" t="n"/>
    </row>
    <row r="13">
      <c r="A13" s="17" t="n"/>
      <c r="B13" s="17" t="inlineStr">
        <is>
          <t>Davey, Lisa</t>
        </is>
      </c>
      <c r="C13" s="17" t="inlineStr">
        <is>
          <t>SC-House-067</t>
        </is>
      </c>
      <c r="D13" s="17" t="n"/>
      <c r="E13" s="17" t="inlineStr">
        <is>
          <t>UNKNOWN</t>
        </is>
      </c>
      <c r="F13" s="17" t="inlineStr">
        <is>
          <t>"Davey, Lisa" South Carolina Democrat; "Davey, Lisa" South Carolina Republican; "Davey, Lisa" SC House of Representatives District 67</t>
        </is>
      </c>
      <c r="G13" s="17" t="n"/>
      <c r="H13" s="17" t="n"/>
      <c r="I13" s="17" t="inlineStr">
        <is>
          <t>Pending</t>
        </is>
      </c>
      <c r="J13" s="17" t="n"/>
      <c r="K13" s="17" t="n"/>
      <c r="L13" s="17" t="n"/>
      <c r="M13" s="17" t="n"/>
    </row>
    <row r="14">
      <c r="A14" s="16" t="n"/>
      <c r="B14" s="16" t="inlineStr">
        <is>
          <t>garmon, johnnie b</t>
        </is>
      </c>
      <c r="C14" s="16" t="inlineStr">
        <is>
          <t>SC-House-115</t>
        </is>
      </c>
      <c r="D14" s="16" t="n"/>
      <c r="E14" s="16" t="inlineStr">
        <is>
          <t>UNKNOWN</t>
        </is>
      </c>
      <c r="F14" s="16" t="inlineStr">
        <is>
          <t>"garmon, johnnie b" South Carolina Democrat; "garmon, johnnie b" South Carolina Republican; "garmon, johnnie b" SC House of Representatives District 115</t>
        </is>
      </c>
      <c r="G14" s="16" t="n"/>
      <c r="H14" s="16" t="n"/>
      <c r="I14" s="16" t="inlineStr">
        <is>
          <t>Pending</t>
        </is>
      </c>
      <c r="J14" s="16" t="n"/>
      <c r="K14" s="16" t="n"/>
      <c r="L14" s="16" t="n"/>
      <c r="M14" s="16" t="n"/>
    </row>
    <row r="15">
      <c r="A15" s="17" t="n"/>
      <c r="B15" s="17" t="inlineStr">
        <is>
          <t>Ammons, Johnathan P Jr.</t>
        </is>
      </c>
      <c r="C15" s="17" t="inlineStr">
        <is>
          <t>SC-House-040</t>
        </is>
      </c>
      <c r="D15" s="17" t="n"/>
      <c r="E15" s="17" t="inlineStr">
        <is>
          <t>UNKNOWN</t>
        </is>
      </c>
      <c r="F15" s="17" t="inlineStr">
        <is>
          <t>"Ammons, Johnathan P Jr." South Carolina Democrat; "Ammons, Johnathan P Jr." South Carolina Republican; "Ammons, Johnathan P Jr." SC House of Representatives District 40</t>
        </is>
      </c>
      <c r="G15" s="17" t="n"/>
      <c r="H15" s="17" t="n"/>
      <c r="I15" s="17" t="inlineStr">
        <is>
          <t>Pending</t>
        </is>
      </c>
      <c r="J15" s="17" t="n"/>
      <c r="K15" s="17" t="n"/>
      <c r="L15" s="17" t="n"/>
      <c r="M15" s="17" t="n"/>
    </row>
    <row r="16">
      <c r="A16" s="16" t="n"/>
      <c r="B16" s="16" t="inlineStr">
        <is>
          <t>Burns, James R</t>
        </is>
      </c>
      <c r="C16" s="16" t="inlineStr">
        <is>
          <t>SC-Senate-015</t>
        </is>
      </c>
      <c r="D16" s="16" t="n"/>
      <c r="E16" s="16" t="inlineStr">
        <is>
          <t>UNKNOWN</t>
        </is>
      </c>
      <c r="F16" s="16" t="inlineStr">
        <is>
          <t>"Burns, James R" South Carolina Democrat; "Burns, James R" South Carolina Republican; "Burns, James R" SC Senate District 15</t>
        </is>
      </c>
      <c r="G16" s="16" t="n"/>
      <c r="H16" s="16" t="n"/>
      <c r="I16" s="16" t="inlineStr">
        <is>
          <t>Pending</t>
        </is>
      </c>
      <c r="J16" s="16" t="n"/>
      <c r="K16" s="16" t="n"/>
      <c r="L16" s="16" t="n"/>
      <c r="M16" s="16" t="n"/>
    </row>
    <row r="17">
      <c r="A17" s="17" t="n"/>
      <c r="B17" s="17" t="inlineStr">
        <is>
          <t>Redwine, Kathy</t>
        </is>
      </c>
      <c r="C17" s="17" t="inlineStr">
        <is>
          <t>SC-House-108</t>
        </is>
      </c>
      <c r="D17" s="17" t="n"/>
      <c r="E17" s="17" t="inlineStr">
        <is>
          <t>UNKNOWN</t>
        </is>
      </c>
      <c r="F17" s="17" t="inlineStr">
        <is>
          <t>"Redwine, Kathy" South Carolina Democrat; "Redwine, Kathy" South Carolina Republican; "Redwine, Kathy" SC House of Representatives District 108</t>
        </is>
      </c>
      <c r="G17" s="17" t="n"/>
      <c r="H17" s="17" t="n"/>
      <c r="I17" s="17" t="inlineStr">
        <is>
          <t>Pending</t>
        </is>
      </c>
      <c r="J17" s="17" t="n"/>
      <c r="K17" s="17" t="n"/>
      <c r="L17" s="17" t="n"/>
      <c r="M17" s="17" t="n"/>
    </row>
    <row r="18">
      <c r="A18" s="16" t="n"/>
      <c r="B18" s="16" t="inlineStr">
        <is>
          <t>Arsenault, Jenna P</t>
        </is>
      </c>
      <c r="C18" s="16" t="inlineStr">
        <is>
          <t>SC-House-112</t>
        </is>
      </c>
      <c r="D18" s="16" t="n"/>
      <c r="E18" s="16" t="inlineStr">
        <is>
          <t>UNKNOWN</t>
        </is>
      </c>
      <c r="F18" s="16" t="inlineStr">
        <is>
          <t>"Arsenault, Jenna P" South Carolina Democrat; "Arsenault, Jenna P" South Carolina Republican; "Arsenault, Jenna P" SC House of Representatives District 112</t>
        </is>
      </c>
      <c r="G18" s="16" t="n"/>
      <c r="H18" s="16" t="n"/>
      <c r="I18" s="16" t="inlineStr">
        <is>
          <t>Pending</t>
        </is>
      </c>
      <c r="J18" s="16" t="n"/>
      <c r="K18" s="16" t="n"/>
      <c r="L18" s="16" t="n"/>
      <c r="M18" s="16" t="n"/>
    </row>
    <row r="19">
      <c r="A19" s="17" t="n"/>
      <c r="B19" s="17" t="inlineStr">
        <is>
          <t>Zimmerman, Amanda</t>
        </is>
      </c>
      <c r="C19" s="17" t="inlineStr">
        <is>
          <t>SC-House-071</t>
        </is>
      </c>
      <c r="D19" s="17" t="n"/>
      <c r="E19" s="17" t="inlineStr">
        <is>
          <t>UNKNOWN</t>
        </is>
      </c>
      <c r="F19" s="17" t="inlineStr">
        <is>
          <t>"Zimmerman, Amanda" South Carolina Democrat; "Zimmerman, Amanda" South Carolina Republican; "Zimmerman, Amanda" SC House of Representatives District 71</t>
        </is>
      </c>
      <c r="G19" s="17" t="n"/>
      <c r="H19" s="17" t="n"/>
      <c r="I19" s="17" t="inlineStr">
        <is>
          <t>Pending</t>
        </is>
      </c>
      <c r="J19" s="17" t="n"/>
      <c r="K19" s="17" t="n"/>
      <c r="L19" s="17" t="n"/>
      <c r="M19" s="17" t="n"/>
    </row>
    <row r="20">
      <c r="A20" s="16" t="n"/>
      <c r="B20" s="16" t="inlineStr">
        <is>
          <t>Blumenthal, George M</t>
        </is>
      </c>
      <c r="C20" s="16" t="inlineStr">
        <is>
          <t>SC-House-104</t>
        </is>
      </c>
      <c r="D20" s="16" t="n"/>
      <c r="E20" s="16" t="inlineStr">
        <is>
          <t>UNKNOWN</t>
        </is>
      </c>
      <c r="F20" s="16" t="inlineStr">
        <is>
          <t>"Blumenthal, George M" South Carolina Democrat; "Blumenthal, George M" South Carolina Republican; "Blumenthal, George M" SC House of Representatives District 104</t>
        </is>
      </c>
      <c r="G20" s="16" t="n"/>
      <c r="H20" s="16" t="n"/>
      <c r="I20" s="16" t="inlineStr">
        <is>
          <t>Pending</t>
        </is>
      </c>
      <c r="J20" s="16" t="n"/>
      <c r="K20" s="16" t="n"/>
      <c r="L20" s="16" t="n"/>
      <c r="M20" s="16" t="n"/>
    </row>
  </sheetData>
  <conditionalFormatting sqref="I2:I500">
    <cfRule type="expression" priority="1" dxfId="6">
      <formula>$I2="Pending"</formula>
    </cfRule>
    <cfRule type="expression" priority="2" dxfId="13">
      <formula>$I2="In-Progress"</formula>
    </cfRule>
    <cfRule type="expression" priority="3" dxfId="5">
      <formula>$I2="Resolved"</formula>
    </cfRule>
  </conditionalFormatting>
  <conditionalFormatting sqref="E2:E500">
    <cfRule type="expression" priority="4" dxfId="5">
      <formula>$E2="HIGH"</formula>
    </cfRule>
    <cfRule type="expression" priority="5" dxfId="0">
      <formula>$E2="UNKNOWN"</formula>
    </cfRule>
  </conditionalFormatting>
  <dataValidations count="1">
    <dataValidation sqref="I2:I500" showDropDown="0" showInputMessage="0" showErrorMessage="0" allowBlank="1" type="list">
      <formula1>"Pending,In-Progress,Resolved"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50" customWidth="1" min="3" max="3"/>
    <col width="18" customWidth="1" min="4" max="4"/>
    <col width="18" customWidth="1" min="5" max="5"/>
    <col width="18" customWidth="1" min="6" max="6"/>
    <col width="30" customWidth="1" min="7" max="7"/>
  </cols>
  <sheetData>
    <row r="1">
      <c r="A1" s="15" t="inlineStr">
        <is>
          <t>timestamp</t>
        </is>
      </c>
      <c r="B1" s="15" t="inlineStr">
        <is>
          <t>event_type</t>
        </is>
      </c>
      <c r="C1" s="15" t="inlineStr">
        <is>
          <t>details</t>
        </is>
      </c>
      <c r="D1" s="15" t="inlineStr">
        <is>
          <t>candidates_added</t>
        </is>
      </c>
      <c r="E1" s="15" t="inlineStr">
        <is>
          <t>candidates_updated</t>
        </is>
      </c>
      <c r="F1" s="15" t="inlineStr">
        <is>
          <t>party_detections</t>
        </is>
      </c>
      <c r="G1" s="15" t="inlineStr">
        <is>
          <t>errors</t>
        </is>
      </c>
    </row>
  </sheetData>
  <conditionalFormatting sqref="B2:B1000">
    <cfRule type="expression" priority="1" dxfId="9">
      <formula>$B2="ERROR"</formula>
    </cfRule>
    <cfRule type="expression" priority="2" dxfId="5">
      <formula>$B2="SYNC"</formula>
    </cfRule>
  </conditionalFormatting>
  <dataValidations count="1">
    <dataValidation sqref="B2:B1000" showDropDown="0" showInputMessage="0" showErrorMessage="0" allowBlank="1" type="list">
      <formula1>"SYNC,SCAN,PARTY_DETECT,ADD_CANDIDATE,UPDATE_CANDIDATE,ERROR,MANUAL_EDIT"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2" t="inlineStr">
        <is>
          <t>SC ETHICS MONITOR - USER GUIDE</t>
        </is>
      </c>
    </row>
    <row r="2">
      <c r="A2" s="23" t="inlineStr"/>
    </row>
    <row r="3">
      <c r="A3" s="13" t="inlineStr">
        <is>
          <t>OVERVIEW</t>
        </is>
      </c>
    </row>
    <row r="4">
      <c r="A4" s="23" t="inlineStr">
        <is>
          <t>This spreadsheet is the Source of Truth for tracking SC legislative candidates from Ethics Commission filings.</t>
        </is>
      </c>
    </row>
    <row r="5">
      <c r="A5" s="23" t="inlineStr">
        <is>
          <t>The system auto-syncs from ethicsfiling.sc.gov but respects your manual edits.</t>
        </is>
      </c>
    </row>
    <row r="6">
      <c r="A6" s="23" t="inlineStr"/>
    </row>
    <row r="7">
      <c r="A7" s="23" t="inlineStr">
        <is>
          <t>MANUAL COLUMNS (Yellow Background)</t>
        </is>
      </c>
    </row>
    <row r="8">
      <c r="A8" s="23" t="inlineStr">
        <is>
          <t>These columns are PRESERVED during sync - your edits are never overwritten:</t>
        </is>
      </c>
    </row>
    <row r="9">
      <c r="A9" s="14" t="inlineStr">
        <is>
          <t xml:space="preserve">  • K: manual_party_override - Set D/R/I/O to override auto-detection</t>
        </is>
      </c>
    </row>
    <row r="10">
      <c r="A10" s="14" t="inlineStr">
        <is>
          <t xml:space="preserve">  • M: party_locked - Set 'Yes' to prevent ALL re-detection</t>
        </is>
      </c>
    </row>
    <row r="11">
      <c r="A11" s="14" t="inlineStr">
        <is>
          <t xml:space="preserve">  • O: notes - Free-form notes about the candidate</t>
        </is>
      </c>
    </row>
    <row r="12">
      <c r="A12" s="23" t="inlineStr"/>
    </row>
    <row r="13">
      <c r="A13" s="23" t="inlineStr">
        <is>
          <t>FORMULA COLUMNS (Green Background)</t>
        </is>
      </c>
    </row>
    <row r="14">
      <c r="A14" s="23" t="inlineStr">
        <is>
          <t>These columns auto-calculate:</t>
        </is>
      </c>
    </row>
    <row r="15">
      <c r="A15" s="14" t="inlineStr">
        <is>
          <t xml:space="preserve">  • L: final_party - Shows manual override if set, else detected party</t>
        </is>
      </c>
    </row>
    <row r="16">
      <c r="A16" s="14" t="inlineStr">
        <is>
          <t xml:space="preserve">  • Race Analysis E/F/G: Candidate counts per district</t>
        </is>
      </c>
    </row>
    <row r="17">
      <c r="A17" s="14" t="inlineStr">
        <is>
          <t xml:space="preserve">  • Race Analysis J: Count of UNKNOWN/LOW confidence needing research</t>
        </is>
      </c>
    </row>
    <row r="18">
      <c r="A18" s="23" t="inlineStr"/>
    </row>
    <row r="19">
      <c r="A19" s="13" t="inlineStr">
        <is>
          <t>COLOR CODING</t>
        </is>
      </c>
    </row>
    <row r="20">
      <c r="A20" s="23" t="inlineStr">
        <is>
          <t>Party Colors:</t>
        </is>
      </c>
    </row>
    <row r="21">
      <c r="A21" s="14" t="inlineStr">
        <is>
          <t xml:space="preserve">  • Light Blue = Democrat (D)</t>
        </is>
      </c>
    </row>
    <row r="22">
      <c r="A22" s="14" t="inlineStr">
        <is>
          <t xml:space="preserve">  • Light Red = Republican (R)</t>
        </is>
      </c>
    </row>
    <row r="23">
      <c r="A23" s="14" t="inlineStr">
        <is>
          <t xml:space="preserve">  • Light Gray = Independent/Other (I/O)</t>
        </is>
      </c>
    </row>
    <row r="24">
      <c r="A24" s="23" t="inlineStr">
        <is>
          <t>Confidence Colors:</t>
        </is>
      </c>
    </row>
    <row r="25">
      <c r="A25" s="14" t="inlineStr">
        <is>
          <t xml:space="preserve">  • Green = HIGH confidence</t>
        </is>
      </c>
    </row>
    <row r="26">
      <c r="A26" s="14" t="inlineStr">
        <is>
          <t xml:space="preserve">  • Yellow = MEDIUM confidence</t>
        </is>
      </c>
    </row>
    <row r="27">
      <c r="A27" s="14" t="inlineStr">
        <is>
          <t xml:space="preserve">  • Orange = LOW confidence (needs verification)</t>
        </is>
      </c>
    </row>
    <row r="28">
      <c r="A28" s="14" t="inlineStr">
        <is>
          <t xml:space="preserve">  • Red = UNKNOWN (definitely needs research)</t>
        </is>
      </c>
    </row>
    <row r="29">
      <c r="A29" s="23" t="inlineStr">
        <is>
          <t>Priority Colors (Race Analysis):</t>
        </is>
      </c>
    </row>
    <row r="30">
      <c r="A30" s="14" t="inlineStr">
        <is>
          <t xml:space="preserve">  • Red = High-D-Recruit (Unopposed-R, no D filed yet)</t>
        </is>
      </c>
    </row>
    <row r="31">
      <c r="A31" s="14" t="inlineStr">
        <is>
          <t xml:space="preserve">  • Orange = Open-Seat (No incumbent)</t>
        </is>
      </c>
    </row>
    <row r="32">
      <c r="A32" s="14" t="inlineStr">
        <is>
          <t xml:space="preserve">  • Yellow = Monitor (Contested race)</t>
        </is>
      </c>
    </row>
    <row r="33">
      <c r="A33" s="14" t="inlineStr">
        <is>
          <t xml:space="preserve">  • Green = Low (Unopposed-D or already covered)</t>
        </is>
      </c>
    </row>
    <row r="34">
      <c r="A34" s="23" t="inlineStr"/>
    </row>
    <row r="35">
      <c r="A35" s="13" t="inlineStr">
        <is>
          <t>WORKFLOW</t>
        </is>
      </c>
    </row>
    <row r="36">
      <c r="A36" s="23" t="inlineStr">
        <is>
          <t>1. Daily sync adds new candidates from Ethics Commission</t>
        </is>
      </c>
    </row>
    <row r="37">
      <c r="A37" s="23" t="inlineStr">
        <is>
          <t>2. Auto-detection attempts to find party affiliation</t>
        </is>
      </c>
    </row>
    <row r="38">
      <c r="A38" s="23" t="inlineStr">
        <is>
          <t>3. UNKNOWN/LOW confidence candidates go to Research Queue</t>
        </is>
      </c>
    </row>
    <row r="39">
      <c r="A39" s="23" t="inlineStr">
        <is>
          <t>4. Manually research and set manual_party_override in Candidates tab</t>
        </is>
      </c>
    </row>
    <row r="40">
      <c r="A40" s="23" t="inlineStr">
        <is>
          <t>5. Set party_locked=Yes to finalize (prevents re-detection)</t>
        </is>
      </c>
    </row>
    <row r="41">
      <c r="A41" s="23" t="inlineStr">
        <is>
          <t>6. Race Analysis auto-updates using final_party</t>
        </is>
      </c>
    </row>
    <row r="42">
      <c r="A42" s="23" t="inlineStr"/>
    </row>
    <row r="43">
      <c r="A43" s="13" t="inlineStr">
        <is>
          <t>TIPS</t>
        </is>
      </c>
    </row>
    <row r="44">
      <c r="A44" s="23" t="inlineStr">
        <is>
          <t>• Use filters to focus on specific districts or parties</t>
        </is>
      </c>
    </row>
    <row r="45">
      <c r="A45" s="23" t="inlineStr">
        <is>
          <t>• Check Dashboard tab for quick metrics</t>
        </is>
      </c>
    </row>
    <row r="46">
      <c r="A46" s="23" t="inlineStr">
        <is>
          <t>• Research Queue shows candidates needing party verification</t>
        </is>
      </c>
    </row>
    <row r="47">
      <c r="A47" s="23" t="inlineStr">
        <is>
          <t>• After manual research, ALWAYS set party_locked=Yes to lock it in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2026-01-22T04:04:31Z</dcterms:created>
  <dcterms:modified xmlns:dcterms="http://purl.org/dc/terms/" xmlns:xsi="http://www.w3.org/2001/XMLSchema-instance" xsi:type="dcterms:W3CDTF">2026-01-22T04:04:33Z</dcterms:modified>
</cp:coreProperties>
</file>