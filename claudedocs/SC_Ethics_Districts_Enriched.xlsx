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istricts" sheetId="2" state="visible" r:id="rId2"/>
    <sheet name="Lists" sheetId="3" state="hidden" r:id="rId3"/>
  </sheets>
  <definedNames>
    <definedName name="_xlnm._FilterDatabase" localSheetId="1" hidden="1">'Districts'!$A$1:$V$171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4"/>
    </font>
    <font>
      <i val="1"/>
      <color rgb="00666666"/>
    </font>
    <font>
      <b val="1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164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CE5FF"/>
          <bgColor rgb="00CCE5FF"/>
        </patternFill>
      </fill>
    </dxf>
    <dxf>
      <fill>
        <patternFill patternType="solid">
          <fgColor rgb="00FFCCCC"/>
          <bgColor rgb="00FFCCCC"/>
        </patternFill>
      </fill>
    </dxf>
    <dxf>
      <font>
        <b val="1"/>
      </font>
      <fill>
        <patternFill patternType="solid">
          <fgColor rgb="00FFD700"/>
          <bgColor rgb="00FFD700"/>
        </patternFill>
      </fill>
    </dxf>
    <dxf>
      <fill>
        <patternFill patternType="solid">
          <fgColor rgb="0087CEEB"/>
          <bgColor rgb="0087CEEB"/>
        </patternFill>
      </fill>
    </dxf>
    <dxf>
      <font>
        <b val="1"/>
      </font>
      <fill>
        <patternFill patternType="solid">
          <fgColor rgb="00FFCCCC"/>
          <bgColor rgb="00FFCC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6CC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28" customWidth="1" min="4" max="4"/>
    <col width="12" customWidth="1" min="5" max="5"/>
  </cols>
  <sheetData>
    <row r="1" ht="40" customHeight="1">
      <c r="A1" s="1" t="inlineStr">
        <is>
          <t>SC Ethics Monitor Dashboard</t>
        </is>
      </c>
    </row>
    <row r="2">
      <c r="A2" s="2" t="inlineStr">
        <is>
          <t>Generated: 2026-01-21 23:41</t>
        </is>
      </c>
    </row>
    <row r="4">
      <c r="A4" s="3" t="inlineStr">
        <is>
          <t>OVERVIEW</t>
        </is>
      </c>
      <c r="D4" s="3" t="inlineStr">
        <is>
          <t>BY PARTY</t>
        </is>
      </c>
    </row>
    <row r="5">
      <c r="A5" s="4" t="inlineStr">
        <is>
          <t>Total Districts</t>
        </is>
      </c>
      <c r="B5" s="5" t="n">
        <v>170</v>
      </c>
      <c r="D5" s="4" t="inlineStr">
        <is>
          <t>Republican (R)</t>
        </is>
      </c>
      <c r="E5" s="5" t="n">
        <v>121</v>
      </c>
    </row>
    <row r="6">
      <c r="A6" s="4" t="inlineStr">
        <is>
          <t>House Districts</t>
        </is>
      </c>
      <c r="B6" s="5" t="n">
        <v>124</v>
      </c>
      <c r="D6" s="4" t="inlineStr">
        <is>
          <t>Democratic (D)</t>
        </is>
      </c>
      <c r="E6" s="5" t="n">
        <v>48</v>
      </c>
    </row>
    <row r="7">
      <c r="A7" s="4" t="inlineStr">
        <is>
          <t>Senate Districts</t>
        </is>
      </c>
      <c r="B7" s="5" t="n">
        <v>46</v>
      </c>
      <c r="D7" s="4" t="inlineStr">
        <is>
          <t>Open Seats</t>
        </is>
      </c>
      <c r="E7" s="5" t="n">
        <v>1</v>
      </c>
    </row>
    <row r="9">
      <c r="A9" s="3" t="inlineStr">
        <is>
          <t>BY REGION</t>
        </is>
      </c>
      <c r="D9" s="3" t="inlineStr">
        <is>
          <t>BY TERM STATUS</t>
        </is>
      </c>
    </row>
    <row r="10">
      <c r="A10" s="4" t="inlineStr">
        <is>
          <t>Upstate</t>
        </is>
      </c>
      <c r="B10" s="5" t="n">
        <v>65</v>
      </c>
      <c r="D10" s="4" t="inlineStr">
        <is>
          <t>Veteran</t>
        </is>
      </c>
      <c r="E10" s="5" t="n">
        <v>72</v>
      </c>
    </row>
    <row r="11">
      <c r="A11" s="4" t="inlineStr">
        <is>
          <t>Midlands</t>
        </is>
      </c>
      <c r="B11" s="5" t="n">
        <v>38</v>
      </c>
      <c r="D11" s="4" t="inlineStr">
        <is>
          <t>First-term</t>
        </is>
      </c>
      <c r="E11" s="5" t="n">
        <v>30</v>
      </c>
    </row>
    <row r="12">
      <c r="A12" s="4" t="inlineStr">
        <is>
          <t>Pee Dee</t>
        </is>
      </c>
      <c r="B12" s="5" t="n">
        <v>39</v>
      </c>
      <c r="D12" s="4" t="inlineStr">
        <is>
          <t>Long-serving</t>
        </is>
      </c>
      <c r="E12" s="5" t="n">
        <v>67</v>
      </c>
    </row>
    <row r="13">
      <c r="A13" s="4" t="inlineStr">
        <is>
          <t>Lowcountry</t>
        </is>
      </c>
      <c r="B13" s="5" t="n">
        <v>28</v>
      </c>
      <c r="D13" s="4" t="inlineStr">
        <is>
          <t>Open</t>
        </is>
      </c>
      <c r="E13" s="5" t="n">
        <v>1</v>
      </c>
    </row>
    <row r="15">
      <c r="A15" s="3" t="inlineStr">
        <is>
          <t>BY DISTRICT TYPE</t>
        </is>
      </c>
      <c r="D15" s="3" t="inlineStr">
        <is>
          <t>PRIORITY TARGETING</t>
        </is>
      </c>
    </row>
    <row r="16">
      <c r="A16" s="4" t="inlineStr">
        <is>
          <t>Rural</t>
        </is>
      </c>
      <c r="B16" s="5" t="n">
        <v>44</v>
      </c>
      <c r="D16" s="4" t="inlineStr">
        <is>
          <t>Competitive (&lt; 10% margin)</t>
        </is>
      </c>
      <c r="E16" s="5" t="n">
        <v>31</v>
      </c>
    </row>
    <row r="17">
      <c r="A17" s="4" t="inlineStr">
        <is>
          <t>Suburban</t>
        </is>
      </c>
      <c r="B17" s="5" t="n">
        <v>72</v>
      </c>
      <c r="D17" s="4" t="inlineStr">
        <is>
          <t>Very Competitive (&lt; 5% margin)</t>
        </is>
      </c>
      <c r="E17" s="5" t="n">
        <v>16</v>
      </c>
    </row>
    <row r="18">
      <c r="A18" s="4" t="inlineStr">
        <is>
          <t>Mixed</t>
        </is>
      </c>
      <c r="B18" s="5" t="n">
        <v>30</v>
      </c>
      <c r="D18" s="4" t="inlineStr">
        <is>
          <t>High Priority (score &gt;= 7)</t>
        </is>
      </c>
      <c r="E18" s="5" t="n">
        <v>4</v>
      </c>
    </row>
    <row r="19">
      <c r="A19" s="4" t="inlineStr">
        <is>
          <t>Urban</t>
        </is>
      </c>
      <c r="B19" s="5" t="n">
        <v>24</v>
      </c>
    </row>
  </sheetData>
  <mergeCells count="7">
    <mergeCell ref="A4:B4"/>
    <mergeCell ref="A15:B15"/>
    <mergeCell ref="D15:E15"/>
    <mergeCell ref="D4:E4"/>
    <mergeCell ref="A1:H1"/>
    <mergeCell ref="A9:B9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AA00"/>
    <outlinePr summaryBelow="1" summaryRight="1"/>
    <pageSetUpPr/>
  </sheetPr>
  <dimension ref="A1:V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8" customWidth="1" min="4" max="4"/>
    <col width="25" customWidth="1" min="5" max="5"/>
    <col width="8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  <col width="10" customWidth="1" min="12" max="12"/>
    <col width="18" customWidth="1" min="13" max="13"/>
    <col width="18" customWidth="1" min="14" max="14"/>
    <col width="14" customWidth="1" min="15" max="15"/>
    <col width="12" customWidth="1" min="16" max="16"/>
    <col width="18" customWidth="1" min="17" max="17"/>
    <col width="14" customWidth="1" min="18" max="18"/>
    <col width="14" customWidth="1" min="19" max="19"/>
    <col width="18" customWidth="1" min="20" max="20"/>
    <col width="16" customWidth="1" min="21" max="21"/>
    <col width="14" customWidth="1" min="22" max="22"/>
  </cols>
  <sheetData>
    <row r="1">
      <c r="A1" s="6" t="inlineStr">
        <is>
          <t>district_id</t>
        </is>
      </c>
      <c r="B1" s="6" t="inlineStr">
        <is>
          <t>district_name</t>
        </is>
      </c>
      <c r="C1" s="6" t="inlineStr">
        <is>
          <t>chamber</t>
        </is>
      </c>
      <c r="D1" s="6" t="inlineStr">
        <is>
          <t>district_number</t>
        </is>
      </c>
      <c r="E1" s="6" t="inlineStr">
        <is>
          <t>incumbent_name</t>
        </is>
      </c>
      <c r="F1" s="6" t="inlineStr">
        <is>
          <t>incumbent_party</t>
        </is>
      </c>
      <c r="G1" s="6" t="inlineStr">
        <is>
          <t>incumbent_since</t>
        </is>
      </c>
      <c r="H1" s="6" t="inlineStr">
        <is>
          <t>next_election</t>
        </is>
      </c>
      <c r="I1" s="6" t="inlineStr">
        <is>
          <t>primary_county</t>
        </is>
      </c>
      <c r="J1" s="6" t="inlineStr">
        <is>
          <t>all_counties</t>
        </is>
      </c>
      <c r="K1" s="6" t="inlineStr">
        <is>
          <t>region</t>
        </is>
      </c>
      <c r="L1" s="6" t="inlineStr">
        <is>
          <t>terms_served</t>
        </is>
      </c>
      <c r="M1" s="6" t="inlineStr">
        <is>
          <t>last_election_margin</t>
        </is>
      </c>
      <c r="N1" s="6" t="inlineStr">
        <is>
          <t>last_election_votes</t>
        </is>
      </c>
      <c r="O1" s="6" t="inlineStr">
        <is>
          <t>term_status</t>
        </is>
      </c>
      <c r="P1" s="6" t="inlineStr">
        <is>
          <t>district_type</t>
        </is>
      </c>
      <c r="Q1" s="6" t="inlineStr">
        <is>
          <t>estimated_population</t>
        </is>
      </c>
      <c r="R1" s="6" t="inlineStr">
        <is>
          <t>composite_score</t>
        </is>
      </c>
      <c r="S1" s="6" t="inlineStr">
        <is>
          <t>is_competitive</t>
        </is>
      </c>
      <c r="T1" s="6" t="inlineStr">
        <is>
          <t>recruitment_priority</t>
        </is>
      </c>
      <c r="U1" s="6" t="inlineStr">
        <is>
          <t>needs_d_candidate</t>
        </is>
      </c>
      <c r="V1" s="6" t="inlineStr">
        <is>
          <t>score_category</t>
        </is>
      </c>
    </row>
    <row r="2">
      <c r="A2" s="4" t="inlineStr">
        <is>
          <t>SC-House-001</t>
        </is>
      </c>
      <c r="B2" s="4" t="inlineStr">
        <is>
          <t>House District 1</t>
        </is>
      </c>
      <c r="C2" s="4" t="inlineStr">
        <is>
          <t>House</t>
        </is>
      </c>
      <c r="D2" s="4" t="n">
        <v>1</v>
      </c>
      <c r="E2" s="4" t="inlineStr">
        <is>
          <t>William R. "Bill" Whitmire</t>
        </is>
      </c>
      <c r="F2" s="4" t="inlineStr">
        <is>
          <t>R</t>
        </is>
      </c>
      <c r="G2" s="4" t="n">
        <v>2022</v>
      </c>
      <c r="H2" s="4" t="n">
        <v>2026</v>
      </c>
      <c r="I2" s="4" t="inlineStr">
        <is>
          <t>Oconee</t>
        </is>
      </c>
      <c r="J2" s="4" t="inlineStr">
        <is>
          <t>Oconee</t>
        </is>
      </c>
      <c r="K2" s="4" t="inlineStr">
        <is>
          <t>Upstate</t>
        </is>
      </c>
      <c r="L2" s="4" t="n">
        <v>2</v>
      </c>
      <c r="M2" s="7" t="n">
        <v>22.9</v>
      </c>
      <c r="N2" s="8" t="n">
        <v>22314</v>
      </c>
      <c r="O2" s="4" t="inlineStr">
        <is>
          <t>Veteran</t>
        </is>
      </c>
      <c r="P2" s="4" t="inlineStr">
        <is>
          <t>Rural</t>
        </is>
      </c>
      <c r="Q2" s="8" t="n">
        <v>40000</v>
      </c>
      <c r="R2" s="4" t="n">
        <v>4</v>
      </c>
      <c r="S2" s="4">
        <f>IF(ISNUMBER(M2), M2&lt;10, FALSE)</f>
        <v/>
      </c>
      <c r="T2" s="4">
        <f>IF(AND(F2="R", S2=TRUE), "High-D-Recruit", IF(O2="Open", "Open-Seat", IF(S2=TRUE, "Monitor", "Low")))</f>
        <v/>
      </c>
      <c r="U2" s="4">
        <f>IF(F2="R", TRUE, FALSE)</f>
        <v/>
      </c>
      <c r="V2" s="4">
        <f>IF(R2&gt;=7, "High", IF(R2&gt;=4, "Medium", "Low"))</f>
        <v/>
      </c>
    </row>
    <row r="3">
      <c r="A3" s="4" t="inlineStr">
        <is>
          <t>SC-House-002</t>
        </is>
      </c>
      <c r="B3" s="4" t="inlineStr">
        <is>
          <t>House District 2</t>
        </is>
      </c>
      <c r="C3" s="4" t="inlineStr">
        <is>
          <t>House</t>
        </is>
      </c>
      <c r="D3" s="4" t="n">
        <v>2</v>
      </c>
      <c r="E3" s="4" t="inlineStr">
        <is>
          <t>Adam L. Duncan</t>
        </is>
      </c>
      <c r="F3" s="4" t="inlineStr">
        <is>
          <t>R</t>
        </is>
      </c>
      <c r="G3" s="4" t="n">
        <v>2018</v>
      </c>
      <c r="H3" s="4" t="n">
        <v>2026</v>
      </c>
      <c r="I3" s="4" t="inlineStr">
        <is>
          <t>Oconee</t>
        </is>
      </c>
      <c r="J3" s="4" t="inlineStr">
        <is>
          <t>Oconee, Pickens</t>
        </is>
      </c>
      <c r="K3" s="4" t="inlineStr">
        <is>
          <t>Upstate</t>
        </is>
      </c>
      <c r="L3" s="4" t="n">
        <v>4</v>
      </c>
      <c r="M3" s="7" t="n">
        <v>16.3</v>
      </c>
      <c r="N3" s="8" t="n">
        <v>18358</v>
      </c>
      <c r="O3" s="4" t="inlineStr">
        <is>
          <t>Veteran</t>
        </is>
      </c>
      <c r="P3" s="4" t="inlineStr">
        <is>
          <t>Rural</t>
        </is>
      </c>
      <c r="Q3" s="8" t="n">
        <v>40000</v>
      </c>
      <c r="R3" s="4" t="n">
        <v>4</v>
      </c>
      <c r="S3" s="4">
        <f>IF(ISNUMBER(M3), M3&lt;10, FALSE)</f>
        <v/>
      </c>
      <c r="T3" s="4">
        <f>IF(AND(F3="R", S3=TRUE), "High-D-Recruit", IF(O3="Open", "Open-Seat", IF(S3=TRUE, "Monitor", "Low")))</f>
        <v/>
      </c>
      <c r="U3" s="4">
        <f>IF(F3="R", TRUE, FALSE)</f>
        <v/>
      </c>
      <c r="V3" s="4">
        <f>IF(R3&gt;=7, "High", IF(R3&gt;=4, "Medium", "Low"))</f>
        <v/>
      </c>
    </row>
    <row r="4">
      <c r="A4" s="4" t="inlineStr">
        <is>
          <t>SC-House-003</t>
        </is>
      </c>
      <c r="B4" s="4" t="inlineStr">
        <is>
          <t>House District 3</t>
        </is>
      </c>
      <c r="C4" s="4" t="inlineStr">
        <is>
          <t>House</t>
        </is>
      </c>
      <c r="D4" s="4" t="n">
        <v>3</v>
      </c>
      <c r="E4" s="4" t="inlineStr">
        <is>
          <t>Phillip Bowers</t>
        </is>
      </c>
      <c r="F4" s="4" t="inlineStr">
        <is>
          <t>R</t>
        </is>
      </c>
      <c r="G4" s="4" t="n">
        <v>2020</v>
      </c>
      <c r="H4" s="4" t="n">
        <v>2026</v>
      </c>
      <c r="I4" s="4" t="inlineStr">
        <is>
          <t>Pickens</t>
        </is>
      </c>
      <c r="J4" s="4" t="inlineStr">
        <is>
          <t>Pickens</t>
        </is>
      </c>
      <c r="K4" s="4" t="inlineStr">
        <is>
          <t>Upstate</t>
        </is>
      </c>
      <c r="L4" s="4" t="n">
        <v>3</v>
      </c>
      <c r="M4" s="7" t="n">
        <v>18.3</v>
      </c>
      <c r="N4" s="8" t="n">
        <v>28825</v>
      </c>
      <c r="O4" s="4" t="inlineStr">
        <is>
          <t>Veteran</t>
        </is>
      </c>
      <c r="P4" s="4" t="inlineStr">
        <is>
          <t>Suburban</t>
        </is>
      </c>
      <c r="Q4" s="8" t="n">
        <v>40000</v>
      </c>
      <c r="R4" s="4" t="n">
        <v>4</v>
      </c>
      <c r="S4" s="4">
        <f>IF(ISNUMBER(M4), M4&lt;10, FALSE)</f>
        <v/>
      </c>
      <c r="T4" s="4">
        <f>IF(AND(F4="R", S4=TRUE), "High-D-Recruit", IF(O4="Open", "Open-Seat", IF(S4=TRUE, "Monitor", "Low")))</f>
        <v/>
      </c>
      <c r="U4" s="4">
        <f>IF(F4="R", TRUE, FALSE)</f>
        <v/>
      </c>
      <c r="V4" s="4">
        <f>IF(R4&gt;=7, "High", IF(R4&gt;=4, "Medium", "Low"))</f>
        <v/>
      </c>
    </row>
    <row r="5">
      <c r="A5" s="4" t="inlineStr">
        <is>
          <t>SC-House-004</t>
        </is>
      </c>
      <c r="B5" s="4" t="inlineStr">
        <is>
          <t>House District 4</t>
        </is>
      </c>
      <c r="C5" s="4" t="inlineStr">
        <is>
          <t>House</t>
        </is>
      </c>
      <c r="D5" s="4" t="n">
        <v>4</v>
      </c>
      <c r="E5" s="4" t="inlineStr">
        <is>
          <t>David R. Hiott</t>
        </is>
      </c>
      <c r="F5" s="4" t="inlineStr">
        <is>
          <t>R</t>
        </is>
      </c>
      <c r="G5" s="4" t="n">
        <v>2024</v>
      </c>
      <c r="H5" s="4" t="n">
        <v>2026</v>
      </c>
      <c r="I5" s="4" t="inlineStr">
        <is>
          <t>Pickens</t>
        </is>
      </c>
      <c r="J5" s="4" t="inlineStr">
        <is>
          <t>Pickens</t>
        </is>
      </c>
      <c r="K5" s="4" t="inlineStr">
        <is>
          <t>Upstate</t>
        </is>
      </c>
      <c r="L5" s="4" t="n">
        <v>1</v>
      </c>
      <c r="M5" s="7" t="n">
        <v>12.3</v>
      </c>
      <c r="N5" s="8" t="n">
        <v>18070</v>
      </c>
      <c r="O5" s="4" t="inlineStr">
        <is>
          <t>First-term</t>
        </is>
      </c>
      <c r="P5" s="4" t="inlineStr">
        <is>
          <t>Suburban</t>
        </is>
      </c>
      <c r="Q5" s="8" t="n">
        <v>40000</v>
      </c>
      <c r="R5" s="4" t="n">
        <v>5</v>
      </c>
      <c r="S5" s="4">
        <f>IF(ISNUMBER(M5), M5&lt;10, FALSE)</f>
        <v/>
      </c>
      <c r="T5" s="4">
        <f>IF(AND(F5="R", S5=TRUE), "High-D-Recruit", IF(O5="Open", "Open-Seat", IF(S5=TRUE, "Monitor", "Low")))</f>
        <v/>
      </c>
      <c r="U5" s="4">
        <f>IF(F5="R", TRUE, FALSE)</f>
        <v/>
      </c>
      <c r="V5" s="4">
        <f>IF(R5&gt;=7, "High", IF(R5&gt;=4, "Medium", "Low"))</f>
        <v/>
      </c>
    </row>
    <row r="6">
      <c r="A6" s="4" t="inlineStr">
        <is>
          <t>SC-House-005</t>
        </is>
      </c>
      <c r="B6" s="4" t="inlineStr">
        <is>
          <t>House District 5</t>
        </is>
      </c>
      <c r="C6" s="4" t="inlineStr">
        <is>
          <t>House</t>
        </is>
      </c>
      <c r="D6" s="4" t="n">
        <v>5</v>
      </c>
      <c r="E6" s="4" t="inlineStr">
        <is>
          <t>Neal A. Collins</t>
        </is>
      </c>
      <c r="F6" s="4" t="inlineStr">
        <is>
          <t>R</t>
        </is>
      </c>
      <c r="G6" s="4" t="n">
        <v>2022</v>
      </c>
      <c r="H6" s="4" t="n">
        <v>2026</v>
      </c>
      <c r="I6" s="4" t="inlineStr">
        <is>
          <t>Pickens</t>
        </is>
      </c>
      <c r="J6" s="4" t="inlineStr">
        <is>
          <t>Pickens, Anderson</t>
        </is>
      </c>
      <c r="K6" s="4" t="inlineStr">
        <is>
          <t>Upstate</t>
        </is>
      </c>
      <c r="L6" s="4" t="n">
        <v>2</v>
      </c>
      <c r="M6" s="7" t="n">
        <v>12.7</v>
      </c>
      <c r="N6" s="8" t="n">
        <v>21515</v>
      </c>
      <c r="O6" s="4" t="inlineStr">
        <is>
          <t>Veteran</t>
        </is>
      </c>
      <c r="P6" s="4" t="inlineStr">
        <is>
          <t>Mixed</t>
        </is>
      </c>
      <c r="Q6" s="8" t="n">
        <v>40000</v>
      </c>
      <c r="R6" s="4" t="n">
        <v>4</v>
      </c>
      <c r="S6" s="4">
        <f>IF(ISNUMBER(M6), M6&lt;10, FALSE)</f>
        <v/>
      </c>
      <c r="T6" s="4">
        <f>IF(AND(F6="R", S6=TRUE), "High-D-Recruit", IF(O6="Open", "Open-Seat", IF(S6=TRUE, "Monitor", "Low")))</f>
        <v/>
      </c>
      <c r="U6" s="4">
        <f>IF(F6="R", TRUE, FALSE)</f>
        <v/>
      </c>
      <c r="V6" s="4">
        <f>IF(R6&gt;=7, "High", IF(R6&gt;=4, "Medium", "Low"))</f>
        <v/>
      </c>
    </row>
    <row r="7">
      <c r="A7" s="4" t="inlineStr">
        <is>
          <t>SC-House-006</t>
        </is>
      </c>
      <c r="B7" s="4" t="inlineStr">
        <is>
          <t>House District 6</t>
        </is>
      </c>
      <c r="C7" s="4" t="inlineStr">
        <is>
          <t>House</t>
        </is>
      </c>
      <c r="D7" s="4" t="n">
        <v>6</v>
      </c>
      <c r="E7" s="4" t="inlineStr">
        <is>
          <t>April Cromer</t>
        </is>
      </c>
      <c r="F7" s="4" t="inlineStr">
        <is>
          <t>R</t>
        </is>
      </c>
      <c r="G7" s="4" t="n">
        <v>2022</v>
      </c>
      <c r="H7" s="4" t="n">
        <v>2026</v>
      </c>
      <c r="I7" s="4" t="inlineStr">
        <is>
          <t>Anderson</t>
        </is>
      </c>
      <c r="J7" s="4" t="inlineStr">
        <is>
          <t>Anderson</t>
        </is>
      </c>
      <c r="K7" s="4" t="inlineStr">
        <is>
          <t>Upstate</t>
        </is>
      </c>
      <c r="L7" s="4" t="n">
        <v>2</v>
      </c>
      <c r="M7" s="4" t="inlineStr">
        <is>
          <t>Unopposed</t>
        </is>
      </c>
      <c r="N7" s="8" t="n">
        <v>21490</v>
      </c>
      <c r="O7" s="4" t="inlineStr">
        <is>
          <t>Veteran</t>
        </is>
      </c>
      <c r="P7" s="4" t="inlineStr">
        <is>
          <t>Suburban</t>
        </is>
      </c>
      <c r="Q7" s="8" t="n">
        <v>40000</v>
      </c>
      <c r="R7" s="4" t="n">
        <v>3</v>
      </c>
      <c r="S7" s="4">
        <f>IF(ISNUMBER(M7), M7&lt;10, FALSE)</f>
        <v/>
      </c>
      <c r="T7" s="4">
        <f>IF(AND(F7="R", S7=TRUE), "High-D-Recruit", IF(O7="Open", "Open-Seat", IF(S7=TRUE, "Monitor", "Low")))</f>
        <v/>
      </c>
      <c r="U7" s="4">
        <f>IF(F7="R", TRUE, FALSE)</f>
        <v/>
      </c>
      <c r="V7" s="4">
        <f>IF(R7&gt;=7, "High", IF(R7&gt;=4, "Medium", "Low"))</f>
        <v/>
      </c>
    </row>
    <row r="8">
      <c r="A8" s="4" t="inlineStr">
        <is>
          <t>SC-House-007</t>
        </is>
      </c>
      <c r="B8" s="4" t="inlineStr">
        <is>
          <t>House District 7</t>
        </is>
      </c>
      <c r="C8" s="4" t="inlineStr">
        <is>
          <t>House</t>
        </is>
      </c>
      <c r="D8" s="4" t="n">
        <v>7</v>
      </c>
      <c r="E8" s="4" t="inlineStr">
        <is>
          <t>Thomas Lee Gilreath</t>
        </is>
      </c>
      <c r="F8" s="4" t="inlineStr">
        <is>
          <t>R</t>
        </is>
      </c>
      <c r="G8" s="4" t="n">
        <v>2010</v>
      </c>
      <c r="H8" s="4" t="n">
        <v>2026</v>
      </c>
      <c r="I8" s="4" t="inlineStr">
        <is>
          <t>Anderson</t>
        </is>
      </c>
      <c r="J8" s="4" t="inlineStr">
        <is>
          <t>Anderson</t>
        </is>
      </c>
      <c r="K8" s="4" t="inlineStr">
        <is>
          <t>Upstate</t>
        </is>
      </c>
      <c r="L8" s="4" t="n">
        <v>8</v>
      </c>
      <c r="M8" s="7" t="n">
        <v>14.9</v>
      </c>
      <c r="N8" s="8" t="n">
        <v>22223</v>
      </c>
      <c r="O8" s="4" t="inlineStr">
        <is>
          <t>Long-serving</t>
        </is>
      </c>
      <c r="P8" s="4" t="inlineStr">
        <is>
          <t>Mixed</t>
        </is>
      </c>
      <c r="Q8" s="8" t="n">
        <v>40000</v>
      </c>
      <c r="R8" s="4" t="n">
        <v>3</v>
      </c>
      <c r="S8" s="4">
        <f>IF(ISNUMBER(M8), M8&lt;10, FALSE)</f>
        <v/>
      </c>
      <c r="T8" s="4">
        <f>IF(AND(F8="R", S8=TRUE), "High-D-Recruit", IF(O8="Open", "Open-Seat", IF(S8=TRUE, "Monitor", "Low")))</f>
        <v/>
      </c>
      <c r="U8" s="4">
        <f>IF(F8="R", TRUE, FALSE)</f>
        <v/>
      </c>
      <c r="V8" s="4">
        <f>IF(R8&gt;=7, "High", IF(R8&gt;=4, "Medium", "Low"))</f>
        <v/>
      </c>
    </row>
    <row r="9">
      <c r="A9" s="4" t="inlineStr">
        <is>
          <t>SC-House-008</t>
        </is>
      </c>
      <c r="B9" s="4" t="inlineStr">
        <is>
          <t>House District 8</t>
        </is>
      </c>
      <c r="C9" s="4" t="inlineStr">
        <is>
          <t>House</t>
        </is>
      </c>
      <c r="D9" s="4" t="n">
        <v>8</v>
      </c>
      <c r="E9" s="4" t="inlineStr">
        <is>
          <t>Donald G. "Don" Chapman</t>
        </is>
      </c>
      <c r="F9" s="4" t="inlineStr">
        <is>
          <t>R</t>
        </is>
      </c>
      <c r="G9" s="4" t="n">
        <v>2018</v>
      </c>
      <c r="H9" s="4" t="n">
        <v>2026</v>
      </c>
      <c r="I9" s="4" t="inlineStr">
        <is>
          <t>Anderson</t>
        </is>
      </c>
      <c r="J9" s="4" t="inlineStr">
        <is>
          <t>Anderson</t>
        </is>
      </c>
      <c r="K9" s="4" t="inlineStr">
        <is>
          <t>Upstate</t>
        </is>
      </c>
      <c r="L9" s="4" t="n">
        <v>4</v>
      </c>
      <c r="M9" s="7" t="n">
        <v>11.4</v>
      </c>
      <c r="N9" s="8" t="n">
        <v>39864</v>
      </c>
      <c r="O9" s="4" t="inlineStr">
        <is>
          <t>Veteran</t>
        </is>
      </c>
      <c r="P9" s="4" t="inlineStr">
        <is>
          <t>Rural</t>
        </is>
      </c>
      <c r="Q9" s="8" t="n">
        <v>40000</v>
      </c>
      <c r="R9" s="4" t="n">
        <v>4</v>
      </c>
      <c r="S9" s="4">
        <f>IF(ISNUMBER(M9), M9&lt;10, FALSE)</f>
        <v/>
      </c>
      <c r="T9" s="4">
        <f>IF(AND(F9="R", S9=TRUE), "High-D-Recruit", IF(O9="Open", "Open-Seat", IF(S9=TRUE, "Monitor", "Low")))</f>
        <v/>
      </c>
      <c r="U9" s="4">
        <f>IF(F9="R", TRUE, FALSE)</f>
        <v/>
      </c>
      <c r="V9" s="4">
        <f>IF(R9&gt;=7, "High", IF(R9&gt;=4, "Medium", "Low"))</f>
        <v/>
      </c>
    </row>
    <row r="10">
      <c r="A10" s="4" t="inlineStr">
        <is>
          <t>SC-House-009</t>
        </is>
      </c>
      <c r="B10" s="4" t="inlineStr">
        <is>
          <t>House District 9</t>
        </is>
      </c>
      <c r="C10" s="4" t="inlineStr">
        <is>
          <t>House</t>
        </is>
      </c>
      <c r="D10" s="4" t="n">
        <v>9</v>
      </c>
      <c r="E10" s="4" t="inlineStr">
        <is>
          <t>Richard Blake Sanders</t>
        </is>
      </c>
      <c r="F10" s="4" t="inlineStr">
        <is>
          <t>R</t>
        </is>
      </c>
      <c r="G10" s="4" t="n">
        <v>1998</v>
      </c>
      <c r="H10" s="4" t="n">
        <v>2026</v>
      </c>
      <c r="I10" s="4" t="inlineStr">
        <is>
          <t>Anderson</t>
        </is>
      </c>
      <c r="J10" s="4" t="inlineStr">
        <is>
          <t>Anderson</t>
        </is>
      </c>
      <c r="K10" s="4" t="inlineStr">
        <is>
          <t>Upstate</t>
        </is>
      </c>
      <c r="L10" s="4" t="n">
        <v>14</v>
      </c>
      <c r="M10" s="4" t="inlineStr">
        <is>
          <t>Unopposed</t>
        </is>
      </c>
      <c r="N10" s="8" t="n">
        <v>21438</v>
      </c>
      <c r="O10" s="4" t="inlineStr">
        <is>
          <t>Long-serving</t>
        </is>
      </c>
      <c r="P10" s="4" t="inlineStr">
        <is>
          <t>Rural</t>
        </is>
      </c>
      <c r="Q10" s="8" t="n">
        <v>40000</v>
      </c>
      <c r="R10" s="4" t="n">
        <v>2</v>
      </c>
      <c r="S10" s="4">
        <f>IF(ISNUMBER(M10), M10&lt;10, FALSE)</f>
        <v/>
      </c>
      <c r="T10" s="4">
        <f>IF(AND(F10="R", S10=TRUE), "High-D-Recruit", IF(O10="Open", "Open-Seat", IF(S10=TRUE, "Monitor", "Low")))</f>
        <v/>
      </c>
      <c r="U10" s="4">
        <f>IF(F10="R", TRUE, FALSE)</f>
        <v/>
      </c>
      <c r="V10" s="4">
        <f>IF(R10&gt;=7, "High", IF(R10&gt;=4, "Medium", "Low"))</f>
        <v/>
      </c>
    </row>
    <row r="11">
      <c r="A11" s="4" t="inlineStr">
        <is>
          <t>SC-House-010</t>
        </is>
      </c>
      <c r="B11" s="4" t="inlineStr">
        <is>
          <t>House District 10</t>
        </is>
      </c>
      <c r="C11" s="4" t="inlineStr">
        <is>
          <t>House</t>
        </is>
      </c>
      <c r="D11" s="4" t="n">
        <v>10</v>
      </c>
      <c r="E11" s="4" t="inlineStr">
        <is>
          <t>Thomas Beach</t>
        </is>
      </c>
      <c r="F11" s="4" t="inlineStr">
        <is>
          <t>R</t>
        </is>
      </c>
      <c r="G11" s="4" t="n">
        <v>2016</v>
      </c>
      <c r="H11" s="4" t="n">
        <v>2026</v>
      </c>
      <c r="I11" s="4" t="inlineStr">
        <is>
          <t>Anderson</t>
        </is>
      </c>
      <c r="J11" s="4" t="inlineStr">
        <is>
          <t>Anderson, Abbeville</t>
        </is>
      </c>
      <c r="K11" s="4" t="inlineStr">
        <is>
          <t>Upstate</t>
        </is>
      </c>
      <c r="L11" s="4" t="n">
        <v>5</v>
      </c>
      <c r="M11" s="7" t="n">
        <v>34.9</v>
      </c>
      <c r="N11" s="8" t="n">
        <v>24105</v>
      </c>
      <c r="O11" s="4" t="inlineStr">
        <is>
          <t>Long-serving</t>
        </is>
      </c>
      <c r="P11" s="4" t="inlineStr">
        <is>
          <t>Rural</t>
        </is>
      </c>
      <c r="Q11" s="8" t="n">
        <v>40000</v>
      </c>
      <c r="R11" s="4" t="n">
        <v>3</v>
      </c>
      <c r="S11" s="4">
        <f>IF(ISNUMBER(M11), M11&lt;10, FALSE)</f>
        <v/>
      </c>
      <c r="T11" s="4">
        <f>IF(AND(F11="R", S11=TRUE), "High-D-Recruit", IF(O11="Open", "Open-Seat", IF(S11=TRUE, "Monitor", "Low")))</f>
        <v/>
      </c>
      <c r="U11" s="4">
        <f>IF(F11="R", TRUE, FALSE)</f>
        <v/>
      </c>
      <c r="V11" s="4">
        <f>IF(R11&gt;=7, "High", IF(R11&gt;=4, "Medium", "Low"))</f>
        <v/>
      </c>
    </row>
    <row r="12">
      <c r="A12" s="4" t="inlineStr">
        <is>
          <t>SC-House-011</t>
        </is>
      </c>
      <c r="B12" s="4" t="inlineStr">
        <is>
          <t>House District 11</t>
        </is>
      </c>
      <c r="C12" s="4" t="inlineStr">
        <is>
          <t>House</t>
        </is>
      </c>
      <c r="D12" s="4" t="n">
        <v>11</v>
      </c>
      <c r="E12" s="4" t="inlineStr">
        <is>
          <t>Craig A. Gagnon</t>
        </is>
      </c>
      <c r="F12" s="4" t="inlineStr">
        <is>
          <t>R</t>
        </is>
      </c>
      <c r="G12" s="4" t="n">
        <v>2020</v>
      </c>
      <c r="H12" s="4" t="n">
        <v>2026</v>
      </c>
      <c r="I12" s="4" t="inlineStr">
        <is>
          <t>Anderson</t>
        </is>
      </c>
      <c r="J12" s="4" t="inlineStr">
        <is>
          <t>Anderson, Greenville</t>
        </is>
      </c>
      <c r="K12" s="4" t="inlineStr">
        <is>
          <t>Upstate</t>
        </is>
      </c>
      <c r="L12" s="4" t="n">
        <v>3</v>
      </c>
      <c r="M12" s="7" t="n">
        <v>23.7</v>
      </c>
      <c r="N12" s="8" t="n">
        <v>18039</v>
      </c>
      <c r="O12" s="4" t="inlineStr">
        <is>
          <t>Veteran</t>
        </is>
      </c>
      <c r="P12" s="4" t="inlineStr">
        <is>
          <t>Suburban</t>
        </is>
      </c>
      <c r="Q12" s="8" t="n">
        <v>40000</v>
      </c>
      <c r="R12" s="4" t="n">
        <v>4</v>
      </c>
      <c r="S12" s="4">
        <f>IF(ISNUMBER(M12), M12&lt;10, FALSE)</f>
        <v/>
      </c>
      <c r="T12" s="4">
        <f>IF(AND(F12="R", S12=TRUE), "High-D-Recruit", IF(O12="Open", "Open-Seat", IF(S12=TRUE, "Monitor", "Low")))</f>
        <v/>
      </c>
      <c r="U12" s="4">
        <f>IF(F12="R", TRUE, FALSE)</f>
        <v/>
      </c>
      <c r="V12" s="4">
        <f>IF(R12&gt;=7, "High", IF(R12&gt;=4, "Medium", "Low"))</f>
        <v/>
      </c>
    </row>
    <row r="13">
      <c r="A13" s="4" t="inlineStr">
        <is>
          <t>SC-House-012</t>
        </is>
      </c>
      <c r="B13" s="4" t="inlineStr">
        <is>
          <t>House District 12</t>
        </is>
      </c>
      <c r="C13" s="4" t="inlineStr">
        <is>
          <t>House</t>
        </is>
      </c>
      <c r="D13" s="4" t="n">
        <v>12</v>
      </c>
      <c r="E13" s="4" t="inlineStr">
        <is>
          <t>Daniel Gibson</t>
        </is>
      </c>
      <c r="F13" s="4" t="inlineStr">
        <is>
          <t>R</t>
        </is>
      </c>
      <c r="G13" s="4" t="n">
        <v>2022</v>
      </c>
      <c r="H13" s="4" t="n">
        <v>2026</v>
      </c>
      <c r="I13" s="4" t="inlineStr">
        <is>
          <t>Greenville</t>
        </is>
      </c>
      <c r="J13" s="4" t="inlineStr">
        <is>
          <t>Greenville</t>
        </is>
      </c>
      <c r="K13" s="4" t="inlineStr">
        <is>
          <t>Upstate</t>
        </is>
      </c>
      <c r="L13" s="4" t="n">
        <v>2</v>
      </c>
      <c r="M13" s="7" t="n">
        <v>12.6</v>
      </c>
      <c r="N13" s="8" t="n">
        <v>26763</v>
      </c>
      <c r="O13" s="4" t="inlineStr">
        <is>
          <t>Veteran</t>
        </is>
      </c>
      <c r="P13" s="4" t="inlineStr">
        <is>
          <t>Suburban</t>
        </is>
      </c>
      <c r="Q13" s="8" t="n">
        <v>40000</v>
      </c>
      <c r="R13" s="4" t="n">
        <v>4</v>
      </c>
      <c r="S13" s="4">
        <f>IF(ISNUMBER(M13), M13&lt;10, FALSE)</f>
        <v/>
      </c>
      <c r="T13" s="4">
        <f>IF(AND(F13="R", S13=TRUE), "High-D-Recruit", IF(O13="Open", "Open-Seat", IF(S13=TRUE, "Monitor", "Low")))</f>
        <v/>
      </c>
      <c r="U13" s="4">
        <f>IF(F13="R", TRUE, FALSE)</f>
        <v/>
      </c>
      <c r="V13" s="4">
        <f>IF(R13&gt;=7, "High", IF(R13&gt;=4, "Medium", "Low"))</f>
        <v/>
      </c>
    </row>
    <row r="14">
      <c r="A14" s="4" t="inlineStr">
        <is>
          <t>SC-House-013</t>
        </is>
      </c>
      <c r="B14" s="4" t="inlineStr">
        <is>
          <t>House District 13</t>
        </is>
      </c>
      <c r="C14" s="4" t="inlineStr">
        <is>
          <t>House</t>
        </is>
      </c>
      <c r="D14" s="4" t="n">
        <v>13</v>
      </c>
      <c r="E14" s="4" t="inlineStr">
        <is>
          <t>John R. McCravy III</t>
        </is>
      </c>
      <c r="F14" s="4" t="inlineStr">
        <is>
          <t>R</t>
        </is>
      </c>
      <c r="G14" s="4" t="n">
        <v>2016</v>
      </c>
      <c r="H14" s="4" t="n">
        <v>2026</v>
      </c>
      <c r="I14" s="4" t="inlineStr">
        <is>
          <t>Greenwood</t>
        </is>
      </c>
      <c r="J14" s="4" t="inlineStr">
        <is>
          <t>Greenwood, Laurens</t>
        </is>
      </c>
      <c r="K14" s="4" t="inlineStr">
        <is>
          <t>Upstate</t>
        </is>
      </c>
      <c r="L14" s="4" t="n">
        <v>5</v>
      </c>
      <c r="M14" s="4" t="inlineStr">
        <is>
          <t>Unopposed</t>
        </is>
      </c>
      <c r="N14" s="8" t="n">
        <v>19891</v>
      </c>
      <c r="O14" s="4" t="inlineStr">
        <is>
          <t>Long-serving</t>
        </is>
      </c>
      <c r="P14" s="4" t="inlineStr">
        <is>
          <t>Mixed</t>
        </is>
      </c>
      <c r="Q14" s="8" t="n">
        <v>40000</v>
      </c>
      <c r="R14" s="4" t="n">
        <v>2</v>
      </c>
      <c r="S14" s="4">
        <f>IF(ISNUMBER(M14), M14&lt;10, FALSE)</f>
        <v/>
      </c>
      <c r="T14" s="4">
        <f>IF(AND(F14="R", S14=TRUE), "High-D-Recruit", IF(O14="Open", "Open-Seat", IF(S14=TRUE, "Monitor", "Low")))</f>
        <v/>
      </c>
      <c r="U14" s="4">
        <f>IF(F14="R", TRUE, FALSE)</f>
        <v/>
      </c>
      <c r="V14" s="4">
        <f>IF(R14&gt;=7, "High", IF(R14&gt;=4, "Medium", "Low"))</f>
        <v/>
      </c>
    </row>
    <row r="15">
      <c r="A15" s="4" t="inlineStr">
        <is>
          <t>SC-House-014</t>
        </is>
      </c>
      <c r="B15" s="4" t="inlineStr">
        <is>
          <t>House District 14</t>
        </is>
      </c>
      <c r="C15" s="4" t="inlineStr">
        <is>
          <t>House</t>
        </is>
      </c>
      <c r="D15" s="4" t="n">
        <v>14</v>
      </c>
      <c r="E15" s="4" t="inlineStr">
        <is>
          <t>Luke S. Rankin</t>
        </is>
      </c>
      <c r="F15" s="4" t="inlineStr">
        <is>
          <t>R</t>
        </is>
      </c>
      <c r="G15" s="4" t="n">
        <v>2018</v>
      </c>
      <c r="H15" s="4" t="n">
        <v>2026</v>
      </c>
      <c r="I15" s="4" t="inlineStr">
        <is>
          <t>Greenwood</t>
        </is>
      </c>
      <c r="J15" s="4" t="inlineStr">
        <is>
          <t>Greenwood, Abbeville, McCormick</t>
        </is>
      </c>
      <c r="K15" s="4" t="inlineStr">
        <is>
          <t>Upstate</t>
        </is>
      </c>
      <c r="L15" s="4" t="n">
        <v>4</v>
      </c>
      <c r="M15" s="7" t="n">
        <v>25.7</v>
      </c>
      <c r="N15" s="8" t="n">
        <v>19090</v>
      </c>
      <c r="O15" s="4" t="inlineStr">
        <is>
          <t>Veteran</t>
        </is>
      </c>
      <c r="P15" s="4" t="inlineStr">
        <is>
          <t>Rural</t>
        </is>
      </c>
      <c r="Q15" s="8" t="n">
        <v>40000</v>
      </c>
      <c r="R15" s="4" t="n">
        <v>4</v>
      </c>
      <c r="S15" s="4">
        <f>IF(ISNUMBER(M15), M15&lt;10, FALSE)</f>
        <v/>
      </c>
      <c r="T15" s="4">
        <f>IF(AND(F15="R", S15=TRUE), "High-D-Recruit", IF(O15="Open", "Open-Seat", IF(S15=TRUE, "Monitor", "Low")))</f>
        <v/>
      </c>
      <c r="U15" s="4">
        <f>IF(F15="R", TRUE, FALSE)</f>
        <v/>
      </c>
      <c r="V15" s="4">
        <f>IF(R15&gt;=7, "High", IF(R15&gt;=4, "Medium", "Low"))</f>
        <v/>
      </c>
    </row>
    <row r="16">
      <c r="A16" s="4" t="inlineStr">
        <is>
          <t>SC-House-015</t>
        </is>
      </c>
      <c r="B16" s="4" t="inlineStr">
        <is>
          <t>House District 15</t>
        </is>
      </c>
      <c r="C16" s="4" t="inlineStr">
        <is>
          <t>House</t>
        </is>
      </c>
      <c r="D16" s="4" t="n">
        <v>15</v>
      </c>
      <c r="E16" s="4" t="inlineStr">
        <is>
          <t>JA Moore</t>
        </is>
      </c>
      <c r="F16" s="4" t="inlineStr">
        <is>
          <t>D</t>
        </is>
      </c>
      <c r="G16" s="4" t="n">
        <v>2018</v>
      </c>
      <c r="H16" s="4" t="n">
        <v>2026</v>
      </c>
      <c r="I16" s="4" t="inlineStr">
        <is>
          <t>Greenville</t>
        </is>
      </c>
      <c r="J16" s="4" t="inlineStr">
        <is>
          <t>Greenville</t>
        </is>
      </c>
      <c r="K16" s="4" t="inlineStr">
        <is>
          <t>Upstate</t>
        </is>
      </c>
      <c r="L16" s="4" t="n">
        <v>4</v>
      </c>
      <c r="M16" s="4" t="inlineStr">
        <is>
          <t>Unopposed</t>
        </is>
      </c>
      <c r="N16" s="8" t="n">
        <v>16201</v>
      </c>
      <c r="O16" s="4" t="inlineStr">
        <is>
          <t>Veteran</t>
        </is>
      </c>
      <c r="P16" s="4" t="inlineStr">
        <is>
          <t>Urban</t>
        </is>
      </c>
      <c r="Q16" s="8" t="n">
        <v>40000</v>
      </c>
      <c r="R16" s="4" t="n">
        <v>1</v>
      </c>
      <c r="S16" s="4">
        <f>IF(ISNUMBER(M16), M16&lt;10, FALSE)</f>
        <v/>
      </c>
      <c r="T16" s="4">
        <f>IF(AND(F16="R", S16=TRUE), "High-D-Recruit", IF(O16="Open", "Open-Seat", IF(S16=TRUE, "Monitor", "Low")))</f>
        <v/>
      </c>
      <c r="U16" s="4">
        <f>IF(F16="R", TRUE, FALSE)</f>
        <v/>
      </c>
      <c r="V16" s="4">
        <f>IF(R16&gt;=7, "High", IF(R16&gt;=4, "Medium", "Low"))</f>
        <v/>
      </c>
    </row>
    <row r="17">
      <c r="A17" s="4" t="inlineStr">
        <is>
          <t>SC-House-016</t>
        </is>
      </c>
      <c r="B17" s="4" t="inlineStr">
        <is>
          <t>House District 16</t>
        </is>
      </c>
      <c r="C17" s="4" t="inlineStr">
        <is>
          <t>House</t>
        </is>
      </c>
      <c r="D17" s="4" t="n">
        <v>16</v>
      </c>
      <c r="E17" s="4" t="inlineStr">
        <is>
          <t>Mark N. Willis</t>
        </is>
      </c>
      <c r="F17" s="4" t="inlineStr">
        <is>
          <t>R</t>
        </is>
      </c>
      <c r="G17" s="4" t="n">
        <v>2018</v>
      </c>
      <c r="H17" s="4" t="n">
        <v>2026</v>
      </c>
      <c r="I17" s="4" t="inlineStr">
        <is>
          <t>Laurens</t>
        </is>
      </c>
      <c r="J17" s="4" t="inlineStr">
        <is>
          <t>Laurens</t>
        </is>
      </c>
      <c r="K17" s="4" t="inlineStr">
        <is>
          <t>Upstate</t>
        </is>
      </c>
      <c r="L17" s="4" t="n">
        <v>4</v>
      </c>
      <c r="M17" s="7" t="n">
        <v>18</v>
      </c>
      <c r="N17" s="8" t="n">
        <v>24606</v>
      </c>
      <c r="O17" s="4" t="inlineStr">
        <is>
          <t>Veteran</t>
        </is>
      </c>
      <c r="P17" s="4" t="inlineStr">
        <is>
          <t>Rural</t>
        </is>
      </c>
      <c r="Q17" s="8" t="n">
        <v>40000</v>
      </c>
      <c r="R17" s="4" t="n">
        <v>4</v>
      </c>
      <c r="S17" s="4">
        <f>IF(ISNUMBER(M17), M17&lt;10, FALSE)</f>
        <v/>
      </c>
      <c r="T17" s="4">
        <f>IF(AND(F17="R", S17=TRUE), "High-D-Recruit", IF(O17="Open", "Open-Seat", IF(S17=TRUE, "Monitor", "Low")))</f>
        <v/>
      </c>
      <c r="U17" s="4">
        <f>IF(F17="R", TRUE, FALSE)</f>
        <v/>
      </c>
      <c r="V17" s="4">
        <f>IF(R17&gt;=7, "High", IF(R17&gt;=4, "Medium", "Low"))</f>
        <v/>
      </c>
    </row>
    <row r="18">
      <c r="A18" s="4" t="inlineStr">
        <is>
          <t>SC-House-017</t>
        </is>
      </c>
      <c r="B18" s="4" t="inlineStr">
        <is>
          <t>House District 17</t>
        </is>
      </c>
      <c r="C18" s="4" t="inlineStr">
        <is>
          <t>House</t>
        </is>
      </c>
      <c r="D18" s="4" t="n">
        <v>17</v>
      </c>
      <c r="E18" s="4" t="inlineStr">
        <is>
          <t>James Mikell "Mike" Burns</t>
        </is>
      </c>
      <c r="F18" s="4" t="inlineStr">
        <is>
          <t>R</t>
        </is>
      </c>
      <c r="G18" s="4" t="n">
        <v>2022</v>
      </c>
      <c r="H18" s="4" t="n">
        <v>2026</v>
      </c>
      <c r="I18" s="4" t="inlineStr">
        <is>
          <t>Laurens</t>
        </is>
      </c>
      <c r="J18" s="4" t="inlineStr">
        <is>
          <t>Laurens, Spartanburg</t>
        </is>
      </c>
      <c r="K18" s="4" t="inlineStr">
        <is>
          <t>Upstate</t>
        </is>
      </c>
      <c r="L18" s="4" t="n">
        <v>2</v>
      </c>
      <c r="M18" s="4" t="inlineStr">
        <is>
          <t>Unopposed</t>
        </is>
      </c>
      <c r="N18" s="8" t="n">
        <v>20133</v>
      </c>
      <c r="O18" s="4" t="inlineStr">
        <is>
          <t>Veteran</t>
        </is>
      </c>
      <c r="P18" s="4" t="inlineStr">
        <is>
          <t>Mixed</t>
        </is>
      </c>
      <c r="Q18" s="8" t="n">
        <v>40000</v>
      </c>
      <c r="R18" s="4" t="n">
        <v>3</v>
      </c>
      <c r="S18" s="4">
        <f>IF(ISNUMBER(M18), M18&lt;10, FALSE)</f>
        <v/>
      </c>
      <c r="T18" s="4">
        <f>IF(AND(F18="R", S18=TRUE), "High-D-Recruit", IF(O18="Open", "Open-Seat", IF(S18=TRUE, "Monitor", "Low")))</f>
        <v/>
      </c>
      <c r="U18" s="4">
        <f>IF(F18="R", TRUE, FALSE)</f>
        <v/>
      </c>
      <c r="V18" s="4">
        <f>IF(R18&gt;=7, "High", IF(R18&gt;=4, "Medium", "Low"))</f>
        <v/>
      </c>
    </row>
    <row r="19">
      <c r="A19" s="4" t="inlineStr">
        <is>
          <t>SC-House-018</t>
        </is>
      </c>
      <c r="B19" s="4" t="inlineStr">
        <is>
          <t>House District 18</t>
        </is>
      </c>
      <c r="C19" s="4" t="inlineStr">
        <is>
          <t>House</t>
        </is>
      </c>
      <c r="D19" s="4" t="n">
        <v>18</v>
      </c>
      <c r="E19" s="4" t="inlineStr">
        <is>
          <t>T. Alan Morgan, Jr.</t>
        </is>
      </c>
      <c r="F19" s="4" t="inlineStr">
        <is>
          <t>R</t>
        </is>
      </c>
      <c r="G19" s="4" t="n">
        <v>2006</v>
      </c>
      <c r="H19" s="4" t="n">
        <v>2026</v>
      </c>
      <c r="I19" s="4" t="inlineStr">
        <is>
          <t>Spartanburg</t>
        </is>
      </c>
      <c r="J19" s="4" t="inlineStr">
        <is>
          <t>Spartanburg</t>
        </is>
      </c>
      <c r="K19" s="4" t="inlineStr">
        <is>
          <t>Upstate</t>
        </is>
      </c>
      <c r="L19" s="4" t="n">
        <v>10</v>
      </c>
      <c r="M19" s="4" t="inlineStr">
        <is>
          <t>Unopposed</t>
        </is>
      </c>
      <c r="N19" s="8" t="n">
        <v>15925</v>
      </c>
      <c r="O19" s="4" t="inlineStr">
        <is>
          <t>Long-serving</t>
        </is>
      </c>
      <c r="P19" s="4" t="inlineStr">
        <is>
          <t>Suburban</t>
        </is>
      </c>
      <c r="Q19" s="8" t="n">
        <v>40000</v>
      </c>
      <c r="R19" s="4" t="n">
        <v>2</v>
      </c>
      <c r="S19" s="4">
        <f>IF(ISNUMBER(M19), M19&lt;10, FALSE)</f>
        <v/>
      </c>
      <c r="T19" s="4">
        <f>IF(AND(F19="R", S19=TRUE), "High-D-Recruit", IF(O19="Open", "Open-Seat", IF(S19=TRUE, "Monitor", "Low")))</f>
        <v/>
      </c>
      <c r="U19" s="4">
        <f>IF(F19="R", TRUE, FALSE)</f>
        <v/>
      </c>
      <c r="V19" s="4">
        <f>IF(R19&gt;=7, "High", IF(R19&gt;=4, "Medium", "Low"))</f>
        <v/>
      </c>
    </row>
    <row r="20">
      <c r="A20" s="4" t="inlineStr">
        <is>
          <t>SC-House-019</t>
        </is>
      </c>
      <c r="B20" s="4" t="inlineStr">
        <is>
          <t>House District 19</t>
        </is>
      </c>
      <c r="C20" s="4" t="inlineStr">
        <is>
          <t>House</t>
        </is>
      </c>
      <c r="D20" s="4" t="n">
        <v>19</v>
      </c>
      <c r="E20" s="4" t="inlineStr">
        <is>
          <t>Patrick B. Haddon</t>
        </is>
      </c>
      <c r="F20" s="4" t="inlineStr">
        <is>
          <t>R</t>
        </is>
      </c>
      <c r="G20" s="4" t="n">
        <v>2018</v>
      </c>
      <c r="H20" s="4" t="n">
        <v>2026</v>
      </c>
      <c r="I20" s="4" t="inlineStr">
        <is>
          <t>Spartanburg</t>
        </is>
      </c>
      <c r="J20" s="4" t="inlineStr">
        <is>
          <t>Spartanburg</t>
        </is>
      </c>
      <c r="K20" s="4" t="inlineStr">
        <is>
          <t>Upstate</t>
        </is>
      </c>
      <c r="L20" s="4" t="n">
        <v>4</v>
      </c>
      <c r="M20" s="7" t="n">
        <v>14.1</v>
      </c>
      <c r="N20" s="8" t="n">
        <v>22467</v>
      </c>
      <c r="O20" s="4" t="inlineStr">
        <is>
          <t>Veteran</t>
        </is>
      </c>
      <c r="P20" s="4" t="inlineStr">
        <is>
          <t>Suburban</t>
        </is>
      </c>
      <c r="Q20" s="8" t="n">
        <v>40000</v>
      </c>
      <c r="R20" s="4" t="n">
        <v>4</v>
      </c>
      <c r="S20" s="4">
        <f>IF(ISNUMBER(M20), M20&lt;10, FALSE)</f>
        <v/>
      </c>
      <c r="T20" s="4">
        <f>IF(AND(F20="R", S20=TRUE), "High-D-Recruit", IF(O20="Open", "Open-Seat", IF(S20=TRUE, "Monitor", "Low")))</f>
        <v/>
      </c>
      <c r="U20" s="4">
        <f>IF(F20="R", TRUE, FALSE)</f>
        <v/>
      </c>
      <c r="V20" s="4">
        <f>IF(R20&gt;=7, "High", IF(R20&gt;=4, "Medium", "Low"))</f>
        <v/>
      </c>
    </row>
    <row r="21">
      <c r="A21" s="4" t="inlineStr">
        <is>
          <t>SC-House-020</t>
        </is>
      </c>
      <c r="B21" s="4" t="inlineStr">
        <is>
          <t>House District 20</t>
        </is>
      </c>
      <c r="C21" s="4" t="inlineStr">
        <is>
          <t>House</t>
        </is>
      </c>
      <c r="D21" s="4" t="n">
        <v>20</v>
      </c>
      <c r="E21" s="4" t="inlineStr">
        <is>
          <t>Stephen Frank</t>
        </is>
      </c>
      <c r="F21" s="4" t="inlineStr">
        <is>
          <t>R</t>
        </is>
      </c>
      <c r="G21" s="4" t="n">
        <v>2020</v>
      </c>
      <c r="H21" s="4" t="n">
        <v>2026</v>
      </c>
      <c r="I21" s="4" t="inlineStr">
        <is>
          <t>Greenville</t>
        </is>
      </c>
      <c r="J21" s="4" t="inlineStr">
        <is>
          <t>Greenville</t>
        </is>
      </c>
      <c r="K21" s="4" t="inlineStr">
        <is>
          <t>Upstate</t>
        </is>
      </c>
      <c r="L21" s="4" t="n">
        <v>3</v>
      </c>
      <c r="M21" s="4" t="inlineStr">
        <is>
          <t>Unopposed</t>
        </is>
      </c>
      <c r="N21" s="8" t="n">
        <v>11307</v>
      </c>
      <c r="O21" s="4" t="inlineStr">
        <is>
          <t>Veteran</t>
        </is>
      </c>
      <c r="P21" s="4" t="inlineStr">
        <is>
          <t>Urban</t>
        </is>
      </c>
      <c r="Q21" s="8" t="n">
        <v>40000</v>
      </c>
      <c r="R21" s="4" t="n">
        <v>3</v>
      </c>
      <c r="S21" s="4">
        <f>IF(ISNUMBER(M21), M21&lt;10, FALSE)</f>
        <v/>
      </c>
      <c r="T21" s="4">
        <f>IF(AND(F21="R", S21=TRUE), "High-D-Recruit", IF(O21="Open", "Open-Seat", IF(S21=TRUE, "Monitor", "Low")))</f>
        <v/>
      </c>
      <c r="U21" s="4">
        <f>IF(F21="R", TRUE, FALSE)</f>
        <v/>
      </c>
      <c r="V21" s="4">
        <f>IF(R21&gt;=7, "High", IF(R21&gt;=4, "Medium", "Low"))</f>
        <v/>
      </c>
    </row>
    <row r="22">
      <c r="A22" s="4" t="inlineStr">
        <is>
          <t>SC-House-021</t>
        </is>
      </c>
      <c r="B22" s="4" t="inlineStr">
        <is>
          <t>House District 21</t>
        </is>
      </c>
      <c r="C22" s="4" t="inlineStr">
        <is>
          <t>House</t>
        </is>
      </c>
      <c r="D22" s="4" t="n">
        <v>21</v>
      </c>
      <c r="E22" s="4" t="inlineStr">
        <is>
          <t>Dianne Mitchell</t>
        </is>
      </c>
      <c r="F22" s="4" t="inlineStr">
        <is>
          <t>R</t>
        </is>
      </c>
      <c r="G22" s="4" t="n">
        <v>2014</v>
      </c>
      <c r="H22" s="4" t="n">
        <v>2026</v>
      </c>
      <c r="I22" s="4" t="inlineStr">
        <is>
          <t>Greenville</t>
        </is>
      </c>
      <c r="J22" s="4" t="inlineStr">
        <is>
          <t>Greenville</t>
        </is>
      </c>
      <c r="K22" s="4" t="inlineStr">
        <is>
          <t>Upstate</t>
        </is>
      </c>
      <c r="L22" s="4" t="n">
        <v>6</v>
      </c>
      <c r="M22" s="4" t="inlineStr">
        <is>
          <t>Unopposed</t>
        </is>
      </c>
      <c r="N22" s="8" t="n">
        <v>24196</v>
      </c>
      <c r="O22" s="4" t="inlineStr">
        <is>
          <t>Long-serving</t>
        </is>
      </c>
      <c r="P22" s="4" t="inlineStr">
        <is>
          <t>Suburban</t>
        </is>
      </c>
      <c r="Q22" s="8" t="n">
        <v>40000</v>
      </c>
      <c r="R22" s="4" t="n">
        <v>2</v>
      </c>
      <c r="S22" s="4">
        <f>IF(ISNUMBER(M22), M22&lt;10, FALSE)</f>
        <v/>
      </c>
      <c r="T22" s="4">
        <f>IF(AND(F22="R", S22=TRUE), "High-D-Recruit", IF(O22="Open", "Open-Seat", IF(S22=TRUE, "Monitor", "Low")))</f>
        <v/>
      </c>
      <c r="U22" s="4">
        <f>IF(F22="R", TRUE, FALSE)</f>
        <v/>
      </c>
      <c r="V22" s="4">
        <f>IF(R22&gt;=7, "High", IF(R22&gt;=4, "Medium", "Low"))</f>
        <v/>
      </c>
    </row>
    <row r="23">
      <c r="A23" s="4" t="inlineStr">
        <is>
          <t>SC-House-022</t>
        </is>
      </c>
      <c r="B23" s="4" t="inlineStr">
        <is>
          <t>House District 22</t>
        </is>
      </c>
      <c r="C23" s="4" t="inlineStr">
        <is>
          <t>House</t>
        </is>
      </c>
      <c r="D23" s="4" t="n">
        <v>22</v>
      </c>
      <c r="E23" s="4" t="inlineStr">
        <is>
          <t>Paul B. Wickensimer</t>
        </is>
      </c>
      <c r="F23" s="4" t="inlineStr">
        <is>
          <t>R</t>
        </is>
      </c>
      <c r="G23" s="4" t="n">
        <v>2016</v>
      </c>
      <c r="H23" s="4" t="n">
        <v>2026</v>
      </c>
      <c r="I23" s="4" t="inlineStr">
        <is>
          <t>Greenville</t>
        </is>
      </c>
      <c r="J23" s="4" t="inlineStr">
        <is>
          <t>Greenville</t>
        </is>
      </c>
      <c r="K23" s="4" t="inlineStr">
        <is>
          <t>Upstate</t>
        </is>
      </c>
      <c r="L23" s="4" t="n">
        <v>5</v>
      </c>
      <c r="M23" s="7" t="n">
        <v>12.1</v>
      </c>
      <c r="N23" s="8" t="n">
        <v>24108</v>
      </c>
      <c r="O23" s="4" t="inlineStr">
        <is>
          <t>Long-serving</t>
        </is>
      </c>
      <c r="P23" s="4" t="inlineStr">
        <is>
          <t>Suburban</t>
        </is>
      </c>
      <c r="Q23" s="8" t="n">
        <v>40000</v>
      </c>
      <c r="R23" s="4" t="n">
        <v>3</v>
      </c>
      <c r="S23" s="4">
        <f>IF(ISNUMBER(M23), M23&lt;10, FALSE)</f>
        <v/>
      </c>
      <c r="T23" s="4">
        <f>IF(AND(F23="R", S23=TRUE), "High-D-Recruit", IF(O23="Open", "Open-Seat", IF(S23=TRUE, "Monitor", "Low")))</f>
        <v/>
      </c>
      <c r="U23" s="4">
        <f>IF(F23="R", TRUE, FALSE)</f>
        <v/>
      </c>
      <c r="V23" s="4">
        <f>IF(R23&gt;=7, "High", IF(R23&gt;=4, "Medium", "Low"))</f>
        <v/>
      </c>
    </row>
    <row r="24">
      <c r="A24" s="4" t="inlineStr">
        <is>
          <t>SC-House-023</t>
        </is>
      </c>
      <c r="B24" s="4" t="inlineStr">
        <is>
          <t>House District 23</t>
        </is>
      </c>
      <c r="C24" s="4" t="inlineStr">
        <is>
          <t>House</t>
        </is>
      </c>
      <c r="D24" s="4" t="n">
        <v>23</v>
      </c>
      <c r="E24" s="4" t="inlineStr">
        <is>
          <t>Chandra E. Dillard</t>
        </is>
      </c>
      <c r="F24" s="4" t="inlineStr">
        <is>
          <t>D</t>
        </is>
      </c>
      <c r="G24" s="4" t="n">
        <v>2020</v>
      </c>
      <c r="H24" s="4" t="n">
        <v>2026</v>
      </c>
      <c r="I24" s="4" t="inlineStr">
        <is>
          <t>Greenville</t>
        </is>
      </c>
      <c r="J24" s="4" t="inlineStr">
        <is>
          <t>Greenville</t>
        </is>
      </c>
      <c r="K24" s="4" t="inlineStr">
        <is>
          <t>Upstate</t>
        </is>
      </c>
      <c r="L24" s="4" t="n">
        <v>3</v>
      </c>
      <c r="M24" s="7" t="n">
        <v>18</v>
      </c>
      <c r="N24" s="8" t="n">
        <v>26641</v>
      </c>
      <c r="O24" s="4" t="inlineStr">
        <is>
          <t>Veteran</t>
        </is>
      </c>
      <c r="P24" s="4" t="inlineStr">
        <is>
          <t>Urban</t>
        </is>
      </c>
      <c r="Q24" s="8" t="n">
        <v>40000</v>
      </c>
      <c r="R24" s="4" t="n">
        <v>2</v>
      </c>
      <c r="S24" s="4">
        <f>IF(ISNUMBER(M24), M24&lt;10, FALSE)</f>
        <v/>
      </c>
      <c r="T24" s="4">
        <f>IF(AND(F24="R", S24=TRUE), "High-D-Recruit", IF(O24="Open", "Open-Seat", IF(S24=TRUE, "Monitor", "Low")))</f>
        <v/>
      </c>
      <c r="U24" s="4">
        <f>IF(F24="R", TRUE, FALSE)</f>
        <v/>
      </c>
      <c r="V24" s="4">
        <f>IF(R24&gt;=7, "High", IF(R24&gt;=4, "Medium", "Low"))</f>
        <v/>
      </c>
    </row>
    <row r="25">
      <c r="A25" s="4" t="inlineStr">
        <is>
          <t>SC-House-024</t>
        </is>
      </c>
      <c r="B25" s="4" t="inlineStr">
        <is>
          <t>House District 24</t>
        </is>
      </c>
      <c r="C25" s="4" t="inlineStr">
        <is>
          <t>House</t>
        </is>
      </c>
      <c r="D25" s="4" t="n">
        <v>24</v>
      </c>
      <c r="E25" s="4" t="inlineStr">
        <is>
          <t>Bruce W. Bannister</t>
        </is>
      </c>
      <c r="F25" s="4" t="inlineStr">
        <is>
          <t>R</t>
        </is>
      </c>
      <c r="G25" s="4" t="n">
        <v>2018</v>
      </c>
      <c r="H25" s="4" t="n">
        <v>2026</v>
      </c>
      <c r="I25" s="4" t="inlineStr">
        <is>
          <t>Greenville</t>
        </is>
      </c>
      <c r="J25" s="4" t="inlineStr">
        <is>
          <t>Greenville</t>
        </is>
      </c>
      <c r="K25" s="4" t="inlineStr">
        <is>
          <t>Upstate</t>
        </is>
      </c>
      <c r="L25" s="4" t="n">
        <v>4</v>
      </c>
      <c r="M25" s="7" t="n">
        <v>9.9</v>
      </c>
      <c r="N25" s="8" t="n">
        <v>23748</v>
      </c>
      <c r="O25" s="4" t="inlineStr">
        <is>
          <t>Veteran</t>
        </is>
      </c>
      <c r="P25" s="4" t="inlineStr">
        <is>
          <t>Suburban</t>
        </is>
      </c>
      <c r="Q25" s="8" t="n">
        <v>40000</v>
      </c>
      <c r="R25" s="4" t="n">
        <v>5</v>
      </c>
      <c r="S25" s="4">
        <f>IF(ISNUMBER(M25), M25&lt;10, FALSE)</f>
        <v/>
      </c>
      <c r="T25" s="4">
        <f>IF(AND(F25="R", S25=TRUE), "High-D-Recruit", IF(O25="Open", "Open-Seat", IF(S25=TRUE, "Monitor", "Low")))</f>
        <v/>
      </c>
      <c r="U25" s="4">
        <f>IF(F25="R", TRUE, FALSE)</f>
        <v/>
      </c>
      <c r="V25" s="4">
        <f>IF(R25&gt;=7, "High", IF(R25&gt;=4, "Medium", "Low"))</f>
        <v/>
      </c>
    </row>
    <row r="26">
      <c r="A26" s="4" t="inlineStr">
        <is>
          <t>SC-House-025</t>
        </is>
      </c>
      <c r="B26" s="4" t="inlineStr">
        <is>
          <t>House District 25</t>
        </is>
      </c>
      <c r="C26" s="4" t="inlineStr">
        <is>
          <t>House</t>
        </is>
      </c>
      <c r="D26" s="4" t="n">
        <v>25</v>
      </c>
      <c r="E26" s="4" t="inlineStr">
        <is>
          <t>Wendell K. Jones</t>
        </is>
      </c>
      <c r="F26" s="4" t="inlineStr">
        <is>
          <t>D</t>
        </is>
      </c>
      <c r="G26" s="4" t="n">
        <v>2016</v>
      </c>
      <c r="H26" s="4" t="n">
        <v>2026</v>
      </c>
      <c r="I26" s="4" t="inlineStr">
        <is>
          <t>Greenville</t>
        </is>
      </c>
      <c r="J26" s="4" t="inlineStr">
        <is>
          <t>Greenville</t>
        </is>
      </c>
      <c r="K26" s="4" t="inlineStr">
        <is>
          <t>Upstate</t>
        </is>
      </c>
      <c r="L26" s="4" t="n">
        <v>5</v>
      </c>
      <c r="M26" s="4" t="inlineStr">
        <is>
          <t>Unopposed</t>
        </is>
      </c>
      <c r="N26" s="8" t="n">
        <v>21199</v>
      </c>
      <c r="O26" s="4" t="inlineStr">
        <is>
          <t>Long-serving</t>
        </is>
      </c>
      <c r="P26" s="4" t="inlineStr">
        <is>
          <t>Urban</t>
        </is>
      </c>
      <c r="Q26" s="8" t="n">
        <v>40000</v>
      </c>
      <c r="R26" s="4" t="n">
        <v>0</v>
      </c>
      <c r="S26" s="4">
        <f>IF(ISNUMBER(M26), M26&lt;10, FALSE)</f>
        <v/>
      </c>
      <c r="T26" s="4">
        <f>IF(AND(F26="R", S26=TRUE), "High-D-Recruit", IF(O26="Open", "Open-Seat", IF(S26=TRUE, "Monitor", "Low")))</f>
        <v/>
      </c>
      <c r="U26" s="4">
        <f>IF(F26="R", TRUE, FALSE)</f>
        <v/>
      </c>
      <c r="V26" s="4">
        <f>IF(R26&gt;=7, "High", IF(R26&gt;=4, "Medium", "Low"))</f>
        <v/>
      </c>
    </row>
    <row r="27">
      <c r="A27" s="4" t="inlineStr">
        <is>
          <t>SC-House-026</t>
        </is>
      </c>
      <c r="B27" s="4" t="inlineStr">
        <is>
          <t>House District 26</t>
        </is>
      </c>
      <c r="C27" s="4" t="inlineStr">
        <is>
          <t>House</t>
        </is>
      </c>
      <c r="D27" s="4" t="n">
        <v>26</v>
      </c>
      <c r="E27" s="4" t="inlineStr">
        <is>
          <t>David Martin</t>
        </is>
      </c>
      <c r="F27" s="4" t="inlineStr">
        <is>
          <t>R</t>
        </is>
      </c>
      <c r="G27" s="4" t="n">
        <v>2014</v>
      </c>
      <c r="H27" s="4" t="n">
        <v>2026</v>
      </c>
      <c r="I27" s="4" t="inlineStr">
        <is>
          <t>Greenville</t>
        </is>
      </c>
      <c r="J27" s="4" t="inlineStr">
        <is>
          <t>Greenville</t>
        </is>
      </c>
      <c r="K27" s="4" t="inlineStr">
        <is>
          <t>Upstate</t>
        </is>
      </c>
      <c r="L27" s="4" t="n">
        <v>6</v>
      </c>
      <c r="M27" s="7" t="n">
        <v>10.3</v>
      </c>
      <c r="N27" s="8" t="n">
        <v>38892</v>
      </c>
      <c r="O27" s="4" t="inlineStr">
        <is>
          <t>Long-serving</t>
        </is>
      </c>
      <c r="P27" s="4" t="inlineStr">
        <is>
          <t>Suburban</t>
        </is>
      </c>
      <c r="Q27" s="8" t="n">
        <v>40000</v>
      </c>
      <c r="R27" s="4" t="n">
        <v>3</v>
      </c>
      <c r="S27" s="4">
        <f>IF(ISNUMBER(M27), M27&lt;10, FALSE)</f>
        <v/>
      </c>
      <c r="T27" s="4">
        <f>IF(AND(F27="R", S27=TRUE), "High-D-Recruit", IF(O27="Open", "Open-Seat", IF(S27=TRUE, "Monitor", "Low")))</f>
        <v/>
      </c>
      <c r="U27" s="4">
        <f>IF(F27="R", TRUE, FALSE)</f>
        <v/>
      </c>
      <c r="V27" s="4">
        <f>IF(R27&gt;=7, "High", IF(R27&gt;=4, "Medium", "Low"))</f>
        <v/>
      </c>
    </row>
    <row r="28">
      <c r="A28" s="4" t="inlineStr">
        <is>
          <t>SC-House-027</t>
        </is>
      </c>
      <c r="B28" s="4" t="inlineStr">
        <is>
          <t>House District 27</t>
        </is>
      </c>
      <c r="C28" s="4" t="inlineStr">
        <is>
          <t>House</t>
        </is>
      </c>
      <c r="D28" s="4" t="n">
        <v>27</v>
      </c>
      <c r="E28" s="4" t="inlineStr">
        <is>
          <t>David Vaughan</t>
        </is>
      </c>
      <c r="F28" s="4" t="inlineStr">
        <is>
          <t>R</t>
        </is>
      </c>
      <c r="G28" s="4" t="n">
        <v>2018</v>
      </c>
      <c r="H28" s="4" t="n">
        <v>2026</v>
      </c>
      <c r="I28" s="4" t="inlineStr">
        <is>
          <t>Greenville</t>
        </is>
      </c>
      <c r="J28" s="4" t="inlineStr">
        <is>
          <t>Greenville</t>
        </is>
      </c>
      <c r="K28" s="4" t="inlineStr">
        <is>
          <t>Upstate</t>
        </is>
      </c>
      <c r="L28" s="4" t="n">
        <v>4</v>
      </c>
      <c r="M28" s="7" t="n">
        <v>11.1</v>
      </c>
      <c r="N28" s="8" t="n">
        <v>30147</v>
      </c>
      <c r="O28" s="4" t="inlineStr">
        <is>
          <t>Veteran</t>
        </is>
      </c>
      <c r="P28" s="4" t="inlineStr">
        <is>
          <t>Suburban</t>
        </is>
      </c>
      <c r="Q28" s="8" t="n">
        <v>40000</v>
      </c>
      <c r="R28" s="4" t="n">
        <v>4</v>
      </c>
      <c r="S28" s="4">
        <f>IF(ISNUMBER(M28), M28&lt;10, FALSE)</f>
        <v/>
      </c>
      <c r="T28" s="4">
        <f>IF(AND(F28="R", S28=TRUE), "High-D-Recruit", IF(O28="Open", "Open-Seat", IF(S28=TRUE, "Monitor", "Low")))</f>
        <v/>
      </c>
      <c r="U28" s="4">
        <f>IF(F28="R", TRUE, FALSE)</f>
        <v/>
      </c>
      <c r="V28" s="4">
        <f>IF(R28&gt;=7, "High", IF(R28&gt;=4, "Medium", "Low"))</f>
        <v/>
      </c>
    </row>
    <row r="29">
      <c r="A29" s="4" t="inlineStr">
        <is>
          <t>SC-House-028</t>
        </is>
      </c>
      <c r="B29" s="4" t="inlineStr">
        <is>
          <t>House District 28</t>
        </is>
      </c>
      <c r="C29" s="4" t="inlineStr">
        <is>
          <t>House</t>
        </is>
      </c>
      <c r="D29" s="4" t="n">
        <v>28</v>
      </c>
      <c r="E29" s="4" t="inlineStr">
        <is>
          <t>William C. "Chris" Huff</t>
        </is>
      </c>
      <c r="F29" s="4" t="inlineStr">
        <is>
          <t>R</t>
        </is>
      </c>
      <c r="G29" s="4" t="n">
        <v>2016</v>
      </c>
      <c r="H29" s="4" t="n">
        <v>2026</v>
      </c>
      <c r="I29" s="4" t="inlineStr">
        <is>
          <t>Spartanburg</t>
        </is>
      </c>
      <c r="J29" s="4" t="inlineStr">
        <is>
          <t>Spartanburg</t>
        </is>
      </c>
      <c r="K29" s="4" t="inlineStr">
        <is>
          <t>Upstate</t>
        </is>
      </c>
      <c r="L29" s="4" t="n">
        <v>5</v>
      </c>
      <c r="M29" s="7" t="n">
        <v>29.3</v>
      </c>
      <c r="N29" s="8" t="n">
        <v>33250</v>
      </c>
      <c r="O29" s="4" t="inlineStr">
        <is>
          <t>Long-serving</t>
        </is>
      </c>
      <c r="P29" s="4" t="inlineStr">
        <is>
          <t>Suburban</t>
        </is>
      </c>
      <c r="Q29" s="8" t="n">
        <v>40000</v>
      </c>
      <c r="R29" s="4" t="n">
        <v>3</v>
      </c>
      <c r="S29" s="4">
        <f>IF(ISNUMBER(M29), M29&lt;10, FALSE)</f>
        <v/>
      </c>
      <c r="T29" s="4">
        <f>IF(AND(F29="R", S29=TRUE), "High-D-Recruit", IF(O29="Open", "Open-Seat", IF(S29=TRUE, "Monitor", "Low")))</f>
        <v/>
      </c>
      <c r="U29" s="4">
        <f>IF(F29="R", TRUE, FALSE)</f>
        <v/>
      </c>
      <c r="V29" s="4">
        <f>IF(R29&gt;=7, "High", IF(R29&gt;=4, "Medium", "Low"))</f>
        <v/>
      </c>
    </row>
    <row r="30">
      <c r="A30" s="4" t="inlineStr">
        <is>
          <t>SC-House-029</t>
        </is>
      </c>
      <c r="B30" s="4" t="inlineStr">
        <is>
          <t>House District 29</t>
        </is>
      </c>
      <c r="C30" s="4" t="inlineStr">
        <is>
          <t>House</t>
        </is>
      </c>
      <c r="D30" s="4" t="n">
        <v>29</v>
      </c>
      <c r="E30" s="4" t="inlineStr">
        <is>
          <t>Dennis C. Moss</t>
        </is>
      </c>
      <c r="F30" s="4" t="inlineStr">
        <is>
          <t>R</t>
        </is>
      </c>
      <c r="G30" s="4" t="n">
        <v>2022</v>
      </c>
      <c r="H30" s="4" t="n">
        <v>2026</v>
      </c>
      <c r="I30" s="4" t="inlineStr">
        <is>
          <t>Spartanburg</t>
        </is>
      </c>
      <c r="J30" s="4" t="inlineStr">
        <is>
          <t>Spartanburg, York</t>
        </is>
      </c>
      <c r="K30" s="4" t="inlineStr">
        <is>
          <t>Upstate</t>
        </is>
      </c>
      <c r="L30" s="4" t="n">
        <v>2</v>
      </c>
      <c r="M30" s="7" t="n">
        <v>14.1</v>
      </c>
      <c r="N30" s="8" t="n">
        <v>25626</v>
      </c>
      <c r="O30" s="4" t="inlineStr">
        <is>
          <t>Veteran</t>
        </is>
      </c>
      <c r="P30" s="4" t="inlineStr">
        <is>
          <t>Suburban</t>
        </is>
      </c>
      <c r="Q30" s="8" t="n">
        <v>40000</v>
      </c>
      <c r="R30" s="4" t="n">
        <v>4</v>
      </c>
      <c r="S30" s="4">
        <f>IF(ISNUMBER(M30), M30&lt;10, FALSE)</f>
        <v/>
      </c>
      <c r="T30" s="4">
        <f>IF(AND(F30="R", S30=TRUE), "High-D-Recruit", IF(O30="Open", "Open-Seat", IF(S30=TRUE, "Monitor", "Low")))</f>
        <v/>
      </c>
      <c r="U30" s="4">
        <f>IF(F30="R", TRUE, FALSE)</f>
        <v/>
      </c>
      <c r="V30" s="4">
        <f>IF(R30&gt;=7, "High", IF(R30&gt;=4, "Medium", "Low"))</f>
        <v/>
      </c>
    </row>
    <row r="31">
      <c r="A31" s="4" t="inlineStr">
        <is>
          <t>SC-House-030</t>
        </is>
      </c>
      <c r="B31" s="4" t="inlineStr">
        <is>
          <t>House District 30</t>
        </is>
      </c>
      <c r="C31" s="4" t="inlineStr">
        <is>
          <t>House</t>
        </is>
      </c>
      <c r="D31" s="4" t="n">
        <v>30</v>
      </c>
      <c r="E31" s="4" t="inlineStr">
        <is>
          <t>M. Brian Lawson</t>
        </is>
      </c>
      <c r="F31" s="4" t="inlineStr">
        <is>
          <t>R</t>
        </is>
      </c>
      <c r="G31" s="4" t="n">
        <v>2022</v>
      </c>
      <c r="H31" s="4" t="n">
        <v>2026</v>
      </c>
      <c r="I31" s="4" t="inlineStr">
        <is>
          <t>Spartanburg</t>
        </is>
      </c>
      <c r="J31" s="4" t="inlineStr">
        <is>
          <t>Spartanburg</t>
        </is>
      </c>
      <c r="K31" s="4" t="inlineStr">
        <is>
          <t>Upstate</t>
        </is>
      </c>
      <c r="L31" s="4" t="n">
        <v>2</v>
      </c>
      <c r="M31" s="4" t="inlineStr">
        <is>
          <t>Unopposed</t>
        </is>
      </c>
      <c r="N31" s="8" t="n">
        <v>22713</v>
      </c>
      <c r="O31" s="4" t="inlineStr">
        <is>
          <t>Veteran</t>
        </is>
      </c>
      <c r="P31" s="4" t="inlineStr">
        <is>
          <t>Suburban</t>
        </is>
      </c>
      <c r="Q31" s="8" t="n">
        <v>40000</v>
      </c>
      <c r="R31" s="4" t="n">
        <v>3</v>
      </c>
      <c r="S31" s="4">
        <f>IF(ISNUMBER(M31), M31&lt;10, FALSE)</f>
        <v/>
      </c>
      <c r="T31" s="4">
        <f>IF(AND(F31="R", S31=TRUE), "High-D-Recruit", IF(O31="Open", "Open-Seat", IF(S31=TRUE, "Monitor", "Low")))</f>
        <v/>
      </c>
      <c r="U31" s="4">
        <f>IF(F31="R", TRUE, FALSE)</f>
        <v/>
      </c>
      <c r="V31" s="4">
        <f>IF(R31&gt;=7, "High", IF(R31&gt;=4, "Medium", "Low"))</f>
        <v/>
      </c>
    </row>
    <row r="32">
      <c r="A32" s="4" t="inlineStr">
        <is>
          <t>SC-House-031</t>
        </is>
      </c>
      <c r="B32" s="4" t="inlineStr">
        <is>
          <t>House District 31</t>
        </is>
      </c>
      <c r="C32" s="4" t="inlineStr">
        <is>
          <t>House</t>
        </is>
      </c>
      <c r="D32" s="4" t="n">
        <v>31</v>
      </c>
      <c r="E32" s="4" t="inlineStr">
        <is>
          <t>Rosalyn D. Henderson-Myers, Ph.D.</t>
        </is>
      </c>
      <c r="F32" s="4" t="inlineStr">
        <is>
          <t>D</t>
        </is>
      </c>
      <c r="G32" s="4" t="n">
        <v>2004</v>
      </c>
      <c r="H32" s="4" t="n">
        <v>2026</v>
      </c>
      <c r="I32" s="4" t="inlineStr">
        <is>
          <t>Spartanburg</t>
        </is>
      </c>
      <c r="J32" s="4" t="inlineStr">
        <is>
          <t>Spartanburg</t>
        </is>
      </c>
      <c r="K32" s="4" t="inlineStr">
        <is>
          <t>Upstate</t>
        </is>
      </c>
      <c r="L32" s="4" t="n">
        <v>11</v>
      </c>
      <c r="M32" s="7" t="n">
        <v>22.9</v>
      </c>
      <c r="N32" s="8" t="n">
        <v>28145</v>
      </c>
      <c r="O32" s="4" t="inlineStr">
        <is>
          <t>Long-serving</t>
        </is>
      </c>
      <c r="P32" s="4" t="inlineStr">
        <is>
          <t>Urban</t>
        </is>
      </c>
      <c r="Q32" s="8" t="n">
        <v>40000</v>
      </c>
      <c r="R32" s="4" t="n">
        <v>1</v>
      </c>
      <c r="S32" s="4">
        <f>IF(ISNUMBER(M32), M32&lt;10, FALSE)</f>
        <v/>
      </c>
      <c r="T32" s="4">
        <f>IF(AND(F32="R", S32=TRUE), "High-D-Recruit", IF(O32="Open", "Open-Seat", IF(S32=TRUE, "Monitor", "Low")))</f>
        <v/>
      </c>
      <c r="U32" s="4">
        <f>IF(F32="R", TRUE, FALSE)</f>
        <v/>
      </c>
      <c r="V32" s="4">
        <f>IF(R32&gt;=7, "High", IF(R32&gt;=4, "Medium", "Low"))</f>
        <v/>
      </c>
    </row>
    <row r="33">
      <c r="A33" s="4" t="inlineStr">
        <is>
          <t>SC-House-032</t>
        </is>
      </c>
      <c r="B33" s="4" t="inlineStr">
        <is>
          <t>House District 32</t>
        </is>
      </c>
      <c r="C33" s="4" t="inlineStr">
        <is>
          <t>House</t>
        </is>
      </c>
      <c r="D33" s="4" t="n">
        <v>32</v>
      </c>
      <c r="E33" s="4" t="inlineStr">
        <is>
          <t>W. Scott Montgomery IV</t>
        </is>
      </c>
      <c r="F33" s="4" t="inlineStr">
        <is>
          <t>R</t>
        </is>
      </c>
      <c r="G33" s="4" t="n">
        <v>2014</v>
      </c>
      <c r="H33" s="4" t="n">
        <v>2026</v>
      </c>
      <c r="I33" s="4" t="inlineStr">
        <is>
          <t>Spartanburg</t>
        </is>
      </c>
      <c r="J33" s="4" t="inlineStr">
        <is>
          <t>Spartanburg</t>
        </is>
      </c>
      <c r="K33" s="4" t="inlineStr">
        <is>
          <t>Upstate</t>
        </is>
      </c>
      <c r="L33" s="4" t="n">
        <v>6</v>
      </c>
      <c r="M33" s="7" t="n">
        <v>1.3</v>
      </c>
      <c r="N33" s="8" t="n">
        <v>21913</v>
      </c>
      <c r="O33" s="4" t="inlineStr">
        <is>
          <t>Long-serving</t>
        </is>
      </c>
      <c r="P33" s="4" t="inlineStr">
        <is>
          <t>Suburban</t>
        </is>
      </c>
      <c r="Q33" s="8" t="n">
        <v>40000</v>
      </c>
      <c r="R33" s="4" t="n">
        <v>5</v>
      </c>
      <c r="S33" s="4">
        <f>IF(ISNUMBER(M33), M33&lt;10, FALSE)</f>
        <v/>
      </c>
      <c r="T33" s="4">
        <f>IF(AND(F33="R", S33=TRUE), "High-D-Recruit", IF(O33="Open", "Open-Seat", IF(S33=TRUE, "Monitor", "Low")))</f>
        <v/>
      </c>
      <c r="U33" s="4">
        <f>IF(F33="R", TRUE, FALSE)</f>
        <v/>
      </c>
      <c r="V33" s="4">
        <f>IF(R33&gt;=7, "High", IF(R33&gt;=4, "Medium", "Low"))</f>
        <v/>
      </c>
    </row>
    <row r="34">
      <c r="A34" s="4" t="inlineStr">
        <is>
          <t>SC-House-033</t>
        </is>
      </c>
      <c r="B34" s="4" t="inlineStr">
        <is>
          <t>House District 33</t>
        </is>
      </c>
      <c r="C34" s="4" t="inlineStr">
        <is>
          <t>House</t>
        </is>
      </c>
      <c r="D34" s="4" t="n">
        <v>33</v>
      </c>
      <c r="E34" s="4" t="inlineStr">
        <is>
          <t>Travis A. Moore</t>
        </is>
      </c>
      <c r="F34" s="4" t="inlineStr">
        <is>
          <t>R</t>
        </is>
      </c>
      <c r="G34" s="4" t="n">
        <v>2024</v>
      </c>
      <c r="H34" s="4" t="n">
        <v>2026</v>
      </c>
      <c r="I34" s="4" t="inlineStr">
        <is>
          <t>Spartanburg</t>
        </is>
      </c>
      <c r="J34" s="4" t="inlineStr">
        <is>
          <t>Spartanburg</t>
        </is>
      </c>
      <c r="K34" s="4" t="inlineStr">
        <is>
          <t>Upstate</t>
        </is>
      </c>
      <c r="L34" s="4" t="n">
        <v>1</v>
      </c>
      <c r="M34" s="4" t="inlineStr">
        <is>
          <t>Unopposed</t>
        </is>
      </c>
      <c r="N34" s="8" t="n">
        <v>19292</v>
      </c>
      <c r="O34" s="4" t="inlineStr">
        <is>
          <t>First-term</t>
        </is>
      </c>
      <c r="P34" s="4" t="inlineStr">
        <is>
          <t>Suburban</t>
        </is>
      </c>
      <c r="Q34" s="8" t="n">
        <v>40000</v>
      </c>
      <c r="R34" s="4" t="n">
        <v>4</v>
      </c>
      <c r="S34" s="4">
        <f>IF(ISNUMBER(M34), M34&lt;10, FALSE)</f>
        <v/>
      </c>
      <c r="T34" s="4">
        <f>IF(AND(F34="R", S34=TRUE), "High-D-Recruit", IF(O34="Open", "Open-Seat", IF(S34=TRUE, "Monitor", "Low")))</f>
        <v/>
      </c>
      <c r="U34" s="4">
        <f>IF(F34="R", TRUE, FALSE)</f>
        <v/>
      </c>
      <c r="V34" s="4">
        <f>IF(R34&gt;=7, "High", IF(R34&gt;=4, "Medium", "Low"))</f>
        <v/>
      </c>
    </row>
    <row r="35">
      <c r="A35" s="4" t="inlineStr">
        <is>
          <t>SC-House-034</t>
        </is>
      </c>
      <c r="B35" s="4" t="inlineStr">
        <is>
          <t>House District 34</t>
        </is>
      </c>
      <c r="C35" s="4" t="inlineStr">
        <is>
          <t>House</t>
        </is>
      </c>
      <c r="D35" s="4" t="n">
        <v>34</v>
      </c>
      <c r="E35" s="4" t="inlineStr">
        <is>
          <t>Sarita L. Edgerton</t>
        </is>
      </c>
      <c r="F35" s="4" t="inlineStr">
        <is>
          <t>R</t>
        </is>
      </c>
      <c r="G35" s="4" t="n">
        <v>2018</v>
      </c>
      <c r="H35" s="4" t="n">
        <v>2026</v>
      </c>
      <c r="I35" s="4" t="inlineStr">
        <is>
          <t>Spartanburg</t>
        </is>
      </c>
      <c r="J35" s="4" t="inlineStr">
        <is>
          <t>Spartanburg</t>
        </is>
      </c>
      <c r="K35" s="4" t="inlineStr">
        <is>
          <t>Upstate</t>
        </is>
      </c>
      <c r="L35" s="4" t="n">
        <v>4</v>
      </c>
      <c r="M35" s="4" t="inlineStr">
        <is>
          <t>Unopposed</t>
        </is>
      </c>
      <c r="N35" s="8" t="n">
        <v>15155</v>
      </c>
      <c r="O35" s="4" t="inlineStr">
        <is>
          <t>Veteran</t>
        </is>
      </c>
      <c r="P35" s="4" t="inlineStr">
        <is>
          <t>Mixed</t>
        </is>
      </c>
      <c r="Q35" s="8" t="n">
        <v>40000</v>
      </c>
      <c r="R35" s="4" t="n">
        <v>3</v>
      </c>
      <c r="S35" s="4">
        <f>IF(ISNUMBER(M35), M35&lt;10, FALSE)</f>
        <v/>
      </c>
      <c r="T35" s="4">
        <f>IF(AND(F35="R", S35=TRUE), "High-D-Recruit", IF(O35="Open", "Open-Seat", IF(S35=TRUE, "Monitor", "Low")))</f>
        <v/>
      </c>
      <c r="U35" s="4">
        <f>IF(F35="R", TRUE, FALSE)</f>
        <v/>
      </c>
      <c r="V35" s="4">
        <f>IF(R35&gt;=7, "High", IF(R35&gt;=4, "Medium", "Low"))</f>
        <v/>
      </c>
    </row>
    <row r="36">
      <c r="A36" s="4" t="inlineStr">
        <is>
          <t>SC-House-035</t>
        </is>
      </c>
      <c r="B36" s="4" t="inlineStr">
        <is>
          <t>House District 35</t>
        </is>
      </c>
      <c r="C36" s="4" t="inlineStr">
        <is>
          <t>House</t>
        </is>
      </c>
      <c r="D36" s="4" t="n">
        <v>35</v>
      </c>
      <c r="E36" s="4" t="inlineStr">
        <is>
          <t>William M. "Bill" Chumley</t>
        </is>
      </c>
      <c r="F36" s="4" t="inlineStr">
        <is>
          <t>R</t>
        </is>
      </c>
      <c r="G36" s="4" t="n">
        <v>2022</v>
      </c>
      <c r="H36" s="4" t="n">
        <v>2026</v>
      </c>
      <c r="I36" s="4" t="inlineStr">
        <is>
          <t>Spartanburg</t>
        </is>
      </c>
      <c r="J36" s="4" t="inlineStr">
        <is>
          <t>Spartanburg</t>
        </is>
      </c>
      <c r="K36" s="4" t="inlineStr">
        <is>
          <t>Upstate</t>
        </is>
      </c>
      <c r="L36" s="4" t="n">
        <v>2</v>
      </c>
      <c r="M36" s="7" t="n">
        <v>5.8</v>
      </c>
      <c r="N36" s="8" t="n">
        <v>36064</v>
      </c>
      <c r="O36" s="4" t="inlineStr">
        <is>
          <t>Veteran</t>
        </is>
      </c>
      <c r="P36" s="4" t="inlineStr">
        <is>
          <t>Rural</t>
        </is>
      </c>
      <c r="Q36" s="8" t="n">
        <v>40000</v>
      </c>
      <c r="R36" s="4" t="n">
        <v>5</v>
      </c>
      <c r="S36" s="4">
        <f>IF(ISNUMBER(M36), M36&lt;10, FALSE)</f>
        <v/>
      </c>
      <c r="T36" s="4">
        <f>IF(AND(F36="R", S36=TRUE), "High-D-Recruit", IF(O36="Open", "Open-Seat", IF(S36=TRUE, "Monitor", "Low")))</f>
        <v/>
      </c>
      <c r="U36" s="4">
        <f>IF(F36="R", TRUE, FALSE)</f>
        <v/>
      </c>
      <c r="V36" s="4">
        <f>IF(R36&gt;=7, "High", IF(R36&gt;=4, "Medium", "Low"))</f>
        <v/>
      </c>
    </row>
    <row r="37">
      <c r="A37" s="4" t="inlineStr">
        <is>
          <t>SC-House-036</t>
        </is>
      </c>
      <c r="B37" s="4" t="inlineStr">
        <is>
          <t>House District 36</t>
        </is>
      </c>
      <c r="C37" s="4" t="inlineStr">
        <is>
          <t>House</t>
        </is>
      </c>
      <c r="D37" s="4" t="n">
        <v>36</v>
      </c>
      <c r="E37" s="4" t="inlineStr">
        <is>
          <t>Robert J. "Rob" Harris</t>
        </is>
      </c>
      <c r="F37" s="4" t="inlineStr">
        <is>
          <t>R</t>
        </is>
      </c>
      <c r="G37" s="4" t="n">
        <v>2022</v>
      </c>
      <c r="H37" s="4" t="n">
        <v>2026</v>
      </c>
      <c r="I37" s="4" t="inlineStr">
        <is>
          <t>Union</t>
        </is>
      </c>
      <c r="J37" s="4" t="inlineStr">
        <is>
          <t>Union, Cherokee</t>
        </is>
      </c>
      <c r="K37" s="4" t="inlineStr">
        <is>
          <t>Upstate</t>
        </is>
      </c>
      <c r="L37" s="4" t="n">
        <v>2</v>
      </c>
      <c r="M37" s="7" t="n">
        <v>15.1</v>
      </c>
      <c r="N37" s="8" t="n">
        <v>23679</v>
      </c>
      <c r="O37" s="4" t="inlineStr">
        <is>
          <t>Veteran</t>
        </is>
      </c>
      <c r="P37" s="4" t="inlineStr">
        <is>
          <t>Rural</t>
        </is>
      </c>
      <c r="Q37" s="8" t="n">
        <v>40000</v>
      </c>
      <c r="R37" s="4" t="n">
        <v>4</v>
      </c>
      <c r="S37" s="4">
        <f>IF(ISNUMBER(M37), M37&lt;10, FALSE)</f>
        <v/>
      </c>
      <c r="T37" s="4">
        <f>IF(AND(F37="R", S37=TRUE), "High-D-Recruit", IF(O37="Open", "Open-Seat", IF(S37=TRUE, "Monitor", "Low")))</f>
        <v/>
      </c>
      <c r="U37" s="4">
        <f>IF(F37="R", TRUE, FALSE)</f>
        <v/>
      </c>
      <c r="V37" s="4">
        <f>IF(R37&gt;=7, "High", IF(R37&gt;=4, "Medium", "Low"))</f>
        <v/>
      </c>
    </row>
    <row r="38">
      <c r="A38" s="4" t="inlineStr">
        <is>
          <t>SC-House-037</t>
        </is>
      </c>
      <c r="B38" s="4" t="inlineStr">
        <is>
          <t>House District 37</t>
        </is>
      </c>
      <c r="C38" s="4" t="inlineStr">
        <is>
          <t>House</t>
        </is>
      </c>
      <c r="D38" s="4" t="n">
        <v>37</v>
      </c>
      <c r="E38" s="4" t="inlineStr">
        <is>
          <t>Steven Wayne Long</t>
        </is>
      </c>
      <c r="F38" s="4" t="inlineStr">
        <is>
          <t>R</t>
        </is>
      </c>
      <c r="G38" s="4" t="n">
        <v>2010</v>
      </c>
      <c r="H38" s="4" t="n">
        <v>2026</v>
      </c>
      <c r="I38" s="4" t="inlineStr">
        <is>
          <t>Cherokee</t>
        </is>
      </c>
      <c r="J38" s="4" t="inlineStr">
        <is>
          <t>Cherokee</t>
        </is>
      </c>
      <c r="K38" s="4" t="inlineStr">
        <is>
          <t>Upstate</t>
        </is>
      </c>
      <c r="L38" s="4" t="n">
        <v>8</v>
      </c>
      <c r="M38" s="7" t="n">
        <v>14.6</v>
      </c>
      <c r="N38" s="8" t="n">
        <v>39478</v>
      </c>
      <c r="O38" s="4" t="inlineStr">
        <is>
          <t>Long-serving</t>
        </is>
      </c>
      <c r="P38" s="4" t="inlineStr">
        <is>
          <t>Rural</t>
        </is>
      </c>
      <c r="Q38" s="8" t="n">
        <v>40000</v>
      </c>
      <c r="R38" s="4" t="n">
        <v>3</v>
      </c>
      <c r="S38" s="4">
        <f>IF(ISNUMBER(M38), M38&lt;10, FALSE)</f>
        <v/>
      </c>
      <c r="T38" s="4">
        <f>IF(AND(F38="R", S38=TRUE), "High-D-Recruit", IF(O38="Open", "Open-Seat", IF(S38=TRUE, "Monitor", "Low")))</f>
        <v/>
      </c>
      <c r="U38" s="4">
        <f>IF(F38="R", TRUE, FALSE)</f>
        <v/>
      </c>
      <c r="V38" s="4">
        <f>IF(R38&gt;=7, "High", IF(R38&gt;=4, "Medium", "Low"))</f>
        <v/>
      </c>
    </row>
    <row r="39">
      <c r="A39" s="4" t="inlineStr">
        <is>
          <t>SC-House-038</t>
        </is>
      </c>
      <c r="B39" s="4" t="inlineStr">
        <is>
          <t>House District 38</t>
        </is>
      </c>
      <c r="C39" s="4" t="inlineStr">
        <is>
          <t>House</t>
        </is>
      </c>
      <c r="D39" s="4" t="n">
        <v>38</v>
      </c>
      <c r="E39" s="4" t="inlineStr">
        <is>
          <t>Josiah Magnuson</t>
        </is>
      </c>
      <c r="F39" s="4" t="inlineStr">
        <is>
          <t>R</t>
        </is>
      </c>
      <c r="G39" s="4" t="n">
        <v>2012</v>
      </c>
      <c r="H39" s="4" t="n">
        <v>2026</v>
      </c>
      <c r="I39" s="4" t="inlineStr">
        <is>
          <t>Chester</t>
        </is>
      </c>
      <c r="J39" s="4" t="inlineStr">
        <is>
          <t>Chester, Union</t>
        </is>
      </c>
      <c r="K39" s="4" t="inlineStr">
        <is>
          <t>Upstate</t>
        </is>
      </c>
      <c r="L39" s="4" t="n">
        <v>7</v>
      </c>
      <c r="M39" s="7" t="n">
        <v>2.6</v>
      </c>
      <c r="N39" s="8" t="n">
        <v>34121</v>
      </c>
      <c r="O39" s="4" t="inlineStr">
        <is>
          <t>Long-serving</t>
        </is>
      </c>
      <c r="P39" s="4" t="inlineStr">
        <is>
          <t>Rural</t>
        </is>
      </c>
      <c r="Q39" s="8" t="n">
        <v>40000</v>
      </c>
      <c r="R39" s="4" t="n">
        <v>5</v>
      </c>
      <c r="S39" s="4">
        <f>IF(ISNUMBER(M39), M39&lt;10, FALSE)</f>
        <v/>
      </c>
      <c r="T39" s="4">
        <f>IF(AND(F39="R", S39=TRUE), "High-D-Recruit", IF(O39="Open", "Open-Seat", IF(S39=TRUE, "Monitor", "Low")))</f>
        <v/>
      </c>
      <c r="U39" s="4">
        <f>IF(F39="R", TRUE, FALSE)</f>
        <v/>
      </c>
      <c r="V39" s="4">
        <f>IF(R39&gt;=7, "High", IF(R39&gt;=4, "Medium", "Low"))</f>
        <v/>
      </c>
    </row>
    <row r="40">
      <c r="A40" s="4" t="inlineStr">
        <is>
          <t>SC-House-039</t>
        </is>
      </c>
      <c r="B40" s="4" t="inlineStr">
        <is>
          <t>House District 39</t>
        </is>
      </c>
      <c r="C40" s="4" t="inlineStr">
        <is>
          <t>House</t>
        </is>
      </c>
      <c r="D40" s="4" t="n">
        <v>39</v>
      </c>
      <c r="E40" s="4" t="inlineStr">
        <is>
          <t>Cally R. "Cal" Forrest, Jr.</t>
        </is>
      </c>
      <c r="F40" s="4" t="inlineStr">
        <is>
          <t>R</t>
        </is>
      </c>
      <c r="G40" s="4" t="n">
        <v>2020</v>
      </c>
      <c r="H40" s="4" t="n">
        <v>2026</v>
      </c>
      <c r="I40" s="4" t="inlineStr">
        <is>
          <t>York</t>
        </is>
      </c>
      <c r="J40" s="4" t="inlineStr">
        <is>
          <t>York</t>
        </is>
      </c>
      <c r="K40" s="4" t="inlineStr">
        <is>
          <t>Upstate</t>
        </is>
      </c>
      <c r="L40" s="4" t="n">
        <v>3</v>
      </c>
      <c r="M40" s="7" t="n">
        <v>21.6</v>
      </c>
      <c r="N40" s="8" t="n">
        <v>31696</v>
      </c>
      <c r="O40" s="4" t="inlineStr">
        <is>
          <t>Veteran</t>
        </is>
      </c>
      <c r="P40" s="4" t="inlineStr">
        <is>
          <t>Suburban</t>
        </is>
      </c>
      <c r="Q40" s="8" t="n">
        <v>40000</v>
      </c>
      <c r="R40" s="4" t="n">
        <v>4</v>
      </c>
      <c r="S40" s="4">
        <f>IF(ISNUMBER(M40), M40&lt;10, FALSE)</f>
        <v/>
      </c>
      <c r="T40" s="4">
        <f>IF(AND(F40="R", S40=TRUE), "High-D-Recruit", IF(O40="Open", "Open-Seat", IF(S40=TRUE, "Monitor", "Low")))</f>
        <v/>
      </c>
      <c r="U40" s="4">
        <f>IF(F40="R", TRUE, FALSE)</f>
        <v/>
      </c>
      <c r="V40" s="4">
        <f>IF(R40&gt;=7, "High", IF(R40&gt;=4, "Medium", "Low"))</f>
        <v/>
      </c>
    </row>
    <row r="41">
      <c r="A41" s="4" t="inlineStr">
        <is>
          <t>SC-House-040</t>
        </is>
      </c>
      <c r="B41" s="4" t="inlineStr">
        <is>
          <t>House District 40</t>
        </is>
      </c>
      <c r="C41" s="4" t="inlineStr">
        <is>
          <t>House</t>
        </is>
      </c>
      <c r="D41" s="4" t="n">
        <v>40</v>
      </c>
      <c r="E41" s="4" t="inlineStr">
        <is>
          <t>Joseph S. "Joe" White</t>
        </is>
      </c>
      <c r="F41" s="4" t="inlineStr">
        <is>
          <t>R</t>
        </is>
      </c>
      <c r="G41" s="4" t="n">
        <v>2010</v>
      </c>
      <c r="H41" s="4" t="n">
        <v>2026</v>
      </c>
      <c r="I41" s="4" t="inlineStr">
        <is>
          <t>York</t>
        </is>
      </c>
      <c r="J41" s="4" t="inlineStr">
        <is>
          <t>York</t>
        </is>
      </c>
      <c r="K41" s="4" t="inlineStr">
        <is>
          <t>Upstate</t>
        </is>
      </c>
      <c r="L41" s="4" t="n">
        <v>8</v>
      </c>
      <c r="M41" s="7" t="n">
        <v>45</v>
      </c>
      <c r="N41" s="8" t="n">
        <v>39765</v>
      </c>
      <c r="O41" s="4" t="inlineStr">
        <is>
          <t>Long-serving</t>
        </is>
      </c>
      <c r="P41" s="4" t="inlineStr">
        <is>
          <t>Suburban</t>
        </is>
      </c>
      <c r="Q41" s="8" t="n">
        <v>40000</v>
      </c>
      <c r="R41" s="4" t="n">
        <v>3</v>
      </c>
      <c r="S41" s="4">
        <f>IF(ISNUMBER(M41), M41&lt;10, FALSE)</f>
        <v/>
      </c>
      <c r="T41" s="4">
        <f>IF(AND(F41="R", S41=TRUE), "High-D-Recruit", IF(O41="Open", "Open-Seat", IF(S41=TRUE, "Monitor", "Low")))</f>
        <v/>
      </c>
      <c r="U41" s="4">
        <f>IF(F41="R", TRUE, FALSE)</f>
        <v/>
      </c>
      <c r="V41" s="4">
        <f>IF(R41&gt;=7, "High", IF(R41&gt;=4, "Medium", "Low"))</f>
        <v/>
      </c>
    </row>
    <row r="42">
      <c r="A42" s="4" t="inlineStr">
        <is>
          <t>SC-House-041</t>
        </is>
      </c>
      <c r="B42" s="4" t="inlineStr">
        <is>
          <t>House District 41</t>
        </is>
      </c>
      <c r="C42" s="4" t="inlineStr">
        <is>
          <t>House</t>
        </is>
      </c>
      <c r="D42" s="4" t="n">
        <v>41</v>
      </c>
      <c r="E42" s="4" t="inlineStr">
        <is>
          <t>Annie E. McDaniel</t>
        </is>
      </c>
      <c r="F42" s="4" t="inlineStr">
        <is>
          <t>D</t>
        </is>
      </c>
      <c r="G42" s="4" t="n">
        <v>2006</v>
      </c>
      <c r="H42" s="4" t="n">
        <v>2026</v>
      </c>
      <c r="I42" s="4" t="inlineStr">
        <is>
          <t>York</t>
        </is>
      </c>
      <c r="J42" s="4" t="inlineStr">
        <is>
          <t>York, Chester</t>
        </is>
      </c>
      <c r="K42" s="4" t="inlineStr">
        <is>
          <t>Upstate</t>
        </is>
      </c>
      <c r="L42" s="4" t="n">
        <v>10</v>
      </c>
      <c r="M42" s="7" t="n">
        <v>25.8</v>
      </c>
      <c r="N42" s="8" t="n">
        <v>37298</v>
      </c>
      <c r="O42" s="4" t="inlineStr">
        <is>
          <t>Long-serving</t>
        </is>
      </c>
      <c r="P42" s="4" t="inlineStr">
        <is>
          <t>Mixed</t>
        </is>
      </c>
      <c r="Q42" s="8" t="n">
        <v>40000</v>
      </c>
      <c r="R42" s="4" t="n">
        <v>1</v>
      </c>
      <c r="S42" s="4">
        <f>IF(ISNUMBER(M42), M42&lt;10, FALSE)</f>
        <v/>
      </c>
      <c r="T42" s="4">
        <f>IF(AND(F42="R", S42=TRUE), "High-D-Recruit", IF(O42="Open", "Open-Seat", IF(S42=TRUE, "Monitor", "Low")))</f>
        <v/>
      </c>
      <c r="U42" s="4">
        <f>IF(F42="R", TRUE, FALSE)</f>
        <v/>
      </c>
      <c r="V42" s="4">
        <f>IF(R42&gt;=7, "High", IF(R42&gt;=4, "Medium", "Low"))</f>
        <v/>
      </c>
    </row>
    <row r="43">
      <c r="A43" s="4" t="inlineStr">
        <is>
          <t>SC-House-042</t>
        </is>
      </c>
      <c r="B43" s="4" t="inlineStr">
        <is>
          <t>House District 42</t>
        </is>
      </c>
      <c r="C43" s="4" t="inlineStr">
        <is>
          <t>House</t>
        </is>
      </c>
      <c r="D43" s="4" t="n">
        <v>42</v>
      </c>
      <c r="E43" s="4" t="inlineStr">
        <is>
          <t>Leon D. "Doug" Gilliam</t>
        </is>
      </c>
      <c r="F43" s="4" t="inlineStr">
        <is>
          <t>R</t>
        </is>
      </c>
      <c r="G43" s="4" t="n">
        <v>2020</v>
      </c>
      <c r="H43" s="4" t="n">
        <v>2026</v>
      </c>
      <c r="I43" s="4" t="inlineStr">
        <is>
          <t>Lancaster</t>
        </is>
      </c>
      <c r="J43" s="4" t="inlineStr">
        <is>
          <t>Lancaster, Chesterfield</t>
        </is>
      </c>
      <c r="K43" s="4" t="inlineStr">
        <is>
          <t>Upstate</t>
        </is>
      </c>
      <c r="L43" s="4" t="n">
        <v>3</v>
      </c>
      <c r="M43" s="7" t="n">
        <v>23.9</v>
      </c>
      <c r="N43" s="8" t="n">
        <v>17081</v>
      </c>
      <c r="O43" s="4" t="inlineStr">
        <is>
          <t>Veteran</t>
        </is>
      </c>
      <c r="P43" s="4" t="inlineStr">
        <is>
          <t>Rural</t>
        </is>
      </c>
      <c r="Q43" s="8" t="n">
        <v>40000</v>
      </c>
      <c r="R43" s="4" t="n">
        <v>4</v>
      </c>
      <c r="S43" s="4">
        <f>IF(ISNUMBER(M43), M43&lt;10, FALSE)</f>
        <v/>
      </c>
      <c r="T43" s="4">
        <f>IF(AND(F43="R", S43=TRUE), "High-D-Recruit", IF(O43="Open", "Open-Seat", IF(S43=TRUE, "Monitor", "Low")))</f>
        <v/>
      </c>
      <c r="U43" s="4">
        <f>IF(F43="R", TRUE, FALSE)</f>
        <v/>
      </c>
      <c r="V43" s="4">
        <f>IF(R43&gt;=7, "High", IF(R43&gt;=4, "Medium", "Low"))</f>
        <v/>
      </c>
    </row>
    <row r="44">
      <c r="A44" s="4" t="inlineStr">
        <is>
          <t>SC-House-043</t>
        </is>
      </c>
      <c r="B44" s="4" t="inlineStr">
        <is>
          <t>House District 43</t>
        </is>
      </c>
      <c r="C44" s="4" t="inlineStr">
        <is>
          <t>House</t>
        </is>
      </c>
      <c r="D44" s="4" t="n">
        <v>43</v>
      </c>
      <c r="E44" s="4" t="inlineStr">
        <is>
          <t>Thomas R. "Randy" Ligon</t>
        </is>
      </c>
      <c r="F44" s="4" t="inlineStr">
        <is>
          <t>R</t>
        </is>
      </c>
      <c r="G44" s="4" t="n">
        <v>2022</v>
      </c>
      <c r="H44" s="4" t="n">
        <v>2026</v>
      </c>
      <c r="I44" s="4" t="inlineStr">
        <is>
          <t>Lancaster</t>
        </is>
      </c>
      <c r="J44" s="4" t="inlineStr">
        <is>
          <t>Lancaster</t>
        </is>
      </c>
      <c r="K44" s="4" t="inlineStr">
        <is>
          <t>Upstate</t>
        </is>
      </c>
      <c r="L44" s="4" t="n">
        <v>2</v>
      </c>
      <c r="M44" s="7" t="n">
        <v>5.7</v>
      </c>
      <c r="N44" s="8" t="n">
        <v>23238</v>
      </c>
      <c r="O44" s="4" t="inlineStr">
        <is>
          <t>Veteran</t>
        </is>
      </c>
      <c r="P44" s="4" t="inlineStr">
        <is>
          <t>Suburban</t>
        </is>
      </c>
      <c r="Q44" s="8" t="n">
        <v>40000</v>
      </c>
      <c r="R44" s="4" t="n">
        <v>5</v>
      </c>
      <c r="S44" s="4">
        <f>IF(ISNUMBER(M44), M44&lt;10, FALSE)</f>
        <v/>
      </c>
      <c r="T44" s="4">
        <f>IF(AND(F44="R", S44=TRUE), "High-D-Recruit", IF(O44="Open", "Open-Seat", IF(S44=TRUE, "Monitor", "Low")))</f>
        <v/>
      </c>
      <c r="U44" s="4">
        <f>IF(F44="R", TRUE, FALSE)</f>
        <v/>
      </c>
      <c r="V44" s="4">
        <f>IF(R44&gt;=7, "High", IF(R44&gt;=4, "Medium", "Low"))</f>
        <v/>
      </c>
    </row>
    <row r="45">
      <c r="A45" s="4" t="inlineStr">
        <is>
          <t>SC-House-044</t>
        </is>
      </c>
      <c r="B45" s="4" t="inlineStr">
        <is>
          <t>House District 44</t>
        </is>
      </c>
      <c r="C45" s="4" t="inlineStr">
        <is>
          <t>House</t>
        </is>
      </c>
      <c r="D45" s="4" t="n">
        <v>44</v>
      </c>
      <c r="E45" s="4" t="inlineStr">
        <is>
          <t>James M. "Mike" Neese</t>
        </is>
      </c>
      <c r="F45" s="4" t="inlineStr">
        <is>
          <t>R</t>
        </is>
      </c>
      <c r="G45" s="4" t="n">
        <v>2016</v>
      </c>
      <c r="H45" s="4" t="n">
        <v>2026</v>
      </c>
      <c r="I45" s="4" t="inlineStr">
        <is>
          <t>Lancaster</t>
        </is>
      </c>
      <c r="J45" s="4" t="inlineStr">
        <is>
          <t>Lancaster, Kershaw</t>
        </is>
      </c>
      <c r="K45" s="4" t="inlineStr">
        <is>
          <t>Upstate</t>
        </is>
      </c>
      <c r="L45" s="4" t="n">
        <v>5</v>
      </c>
      <c r="M45" s="4" t="inlineStr">
        <is>
          <t>Unopposed</t>
        </is>
      </c>
      <c r="N45" s="8" t="n">
        <v>24103</v>
      </c>
      <c r="O45" s="4" t="inlineStr">
        <is>
          <t>Long-serving</t>
        </is>
      </c>
      <c r="P45" s="4" t="inlineStr">
        <is>
          <t>Mixed</t>
        </is>
      </c>
      <c r="Q45" s="8" t="n">
        <v>40000</v>
      </c>
      <c r="R45" s="4" t="n">
        <v>2</v>
      </c>
      <c r="S45" s="4">
        <f>IF(ISNUMBER(M45), M45&lt;10, FALSE)</f>
        <v/>
      </c>
      <c r="T45" s="4">
        <f>IF(AND(F45="R", S45=TRUE), "High-D-Recruit", IF(O45="Open", "Open-Seat", IF(S45=TRUE, "Monitor", "Low")))</f>
        <v/>
      </c>
      <c r="U45" s="4">
        <f>IF(F45="R", TRUE, FALSE)</f>
        <v/>
      </c>
      <c r="V45" s="4">
        <f>IF(R45&gt;=7, "High", IF(R45&gt;=4, "Medium", "Low"))</f>
        <v/>
      </c>
    </row>
    <row r="46">
      <c r="A46" s="4" t="inlineStr">
        <is>
          <t>SC-House-045</t>
        </is>
      </c>
      <c r="B46" s="4" t="inlineStr">
        <is>
          <t>House District 45</t>
        </is>
      </c>
      <c r="C46" s="4" t="inlineStr">
        <is>
          <t>House</t>
        </is>
      </c>
      <c r="D46" s="4" t="n">
        <v>45</v>
      </c>
      <c r="E46" s="4" t="inlineStr">
        <is>
          <t>Brandon Newton</t>
        </is>
      </c>
      <c r="F46" s="4" t="inlineStr">
        <is>
          <t>R</t>
        </is>
      </c>
      <c r="G46" s="4" t="n">
        <v>2024</v>
      </c>
      <c r="H46" s="4" t="n">
        <v>2026</v>
      </c>
      <c r="I46" s="4" t="inlineStr">
        <is>
          <t>York</t>
        </is>
      </c>
      <c r="J46" s="4" t="inlineStr">
        <is>
          <t>York</t>
        </is>
      </c>
      <c r="K46" s="4" t="inlineStr">
        <is>
          <t>Upstate</t>
        </is>
      </c>
      <c r="L46" s="4" t="n">
        <v>1</v>
      </c>
      <c r="M46" s="4" t="inlineStr">
        <is>
          <t>Unopposed</t>
        </is>
      </c>
      <c r="N46" s="8" t="n">
        <v>21145</v>
      </c>
      <c r="O46" s="4" t="inlineStr">
        <is>
          <t>First-term</t>
        </is>
      </c>
      <c r="P46" s="4" t="inlineStr">
        <is>
          <t>Suburban</t>
        </is>
      </c>
      <c r="Q46" s="8" t="n">
        <v>40000</v>
      </c>
      <c r="R46" s="4" t="n">
        <v>4</v>
      </c>
      <c r="S46" s="4">
        <f>IF(ISNUMBER(M46), M46&lt;10, FALSE)</f>
        <v/>
      </c>
      <c r="T46" s="4">
        <f>IF(AND(F46="R", S46=TRUE), "High-D-Recruit", IF(O46="Open", "Open-Seat", IF(S46=TRUE, "Monitor", "Low")))</f>
        <v/>
      </c>
      <c r="U46" s="4">
        <f>IF(F46="R", TRUE, FALSE)</f>
        <v/>
      </c>
      <c r="V46" s="4">
        <f>IF(R46&gt;=7, "High", IF(R46&gt;=4, "Medium", "Low"))</f>
        <v/>
      </c>
    </row>
    <row r="47">
      <c r="A47" s="4" t="inlineStr">
        <is>
          <t>SC-House-046</t>
        </is>
      </c>
      <c r="B47" s="4" t="inlineStr">
        <is>
          <t>House District 46</t>
        </is>
      </c>
      <c r="C47" s="4" t="inlineStr">
        <is>
          <t>House</t>
        </is>
      </c>
      <c r="D47" s="4" t="n">
        <v>46</v>
      </c>
      <c r="E47" s="4" t="inlineStr">
        <is>
          <t>Heath Sessions</t>
        </is>
      </c>
      <c r="F47" s="4" t="inlineStr">
        <is>
          <t>R</t>
        </is>
      </c>
      <c r="G47" s="4" t="n">
        <v>2006</v>
      </c>
      <c r="H47" s="4" t="n">
        <v>2026</v>
      </c>
      <c r="I47" s="4" t="inlineStr">
        <is>
          <t>York</t>
        </is>
      </c>
      <c r="J47" s="4" t="inlineStr">
        <is>
          <t>York</t>
        </is>
      </c>
      <c r="K47" s="4" t="inlineStr">
        <is>
          <t>Upstate</t>
        </is>
      </c>
      <c r="L47" s="4" t="n">
        <v>10</v>
      </c>
      <c r="M47" s="4" t="inlineStr">
        <is>
          <t>Unopposed</t>
        </is>
      </c>
      <c r="N47" s="8" t="n">
        <v>21169</v>
      </c>
      <c r="O47" s="4" t="inlineStr">
        <is>
          <t>Long-serving</t>
        </is>
      </c>
      <c r="P47" s="4" t="inlineStr">
        <is>
          <t>Suburban</t>
        </is>
      </c>
      <c r="Q47" s="8" t="n">
        <v>40000</v>
      </c>
      <c r="R47" s="4" t="n">
        <v>2</v>
      </c>
      <c r="S47" s="4">
        <f>IF(ISNUMBER(M47), M47&lt;10, FALSE)</f>
        <v/>
      </c>
      <c r="T47" s="4">
        <f>IF(AND(F47="R", S47=TRUE), "High-D-Recruit", IF(O47="Open", "Open-Seat", IF(S47=TRUE, "Monitor", "Low")))</f>
        <v/>
      </c>
      <c r="U47" s="4">
        <f>IF(F47="R", TRUE, FALSE)</f>
        <v/>
      </c>
      <c r="V47" s="4">
        <f>IF(R47&gt;=7, "High", IF(R47&gt;=4, "Medium", "Low"))</f>
        <v/>
      </c>
    </row>
    <row r="48">
      <c r="A48" s="4" t="inlineStr">
        <is>
          <t>SC-House-047</t>
        </is>
      </c>
      <c r="B48" s="4" t="inlineStr">
        <is>
          <t>House District 47</t>
        </is>
      </c>
      <c r="C48" s="4" t="inlineStr">
        <is>
          <t>House</t>
        </is>
      </c>
      <c r="D48" s="4" t="n">
        <v>47</v>
      </c>
      <c r="E48" s="4" t="inlineStr">
        <is>
          <t>Thomas E. "Tommy" Pope</t>
        </is>
      </c>
      <c r="F48" s="4" t="inlineStr">
        <is>
          <t>R</t>
        </is>
      </c>
      <c r="G48" s="4" t="n">
        <v>2012</v>
      </c>
      <c r="H48" s="4" t="n">
        <v>2026</v>
      </c>
      <c r="I48" s="4" t="inlineStr">
        <is>
          <t>York</t>
        </is>
      </c>
      <c r="J48" s="4" t="inlineStr">
        <is>
          <t>York</t>
        </is>
      </c>
      <c r="K48" s="4" t="inlineStr">
        <is>
          <t>Upstate</t>
        </is>
      </c>
      <c r="L48" s="4" t="n">
        <v>7</v>
      </c>
      <c r="M48" s="4" t="inlineStr">
        <is>
          <t>Unopposed</t>
        </is>
      </c>
      <c r="N48" s="8" t="n">
        <v>22302</v>
      </c>
      <c r="O48" s="4" t="inlineStr">
        <is>
          <t>Long-serving</t>
        </is>
      </c>
      <c r="P48" s="4" t="inlineStr">
        <is>
          <t>Suburban</t>
        </is>
      </c>
      <c r="Q48" s="8" t="n">
        <v>40000</v>
      </c>
      <c r="R48" s="4" t="n">
        <v>2</v>
      </c>
      <c r="S48" s="4">
        <f>IF(ISNUMBER(M48), M48&lt;10, FALSE)</f>
        <v/>
      </c>
      <c r="T48" s="4">
        <f>IF(AND(F48="R", S48=TRUE), "High-D-Recruit", IF(O48="Open", "Open-Seat", IF(S48=TRUE, "Monitor", "Low")))</f>
        <v/>
      </c>
      <c r="U48" s="4">
        <f>IF(F48="R", TRUE, FALSE)</f>
        <v/>
      </c>
      <c r="V48" s="4">
        <f>IF(R48&gt;=7, "High", IF(R48&gt;=4, "Medium", "Low"))</f>
        <v/>
      </c>
    </row>
    <row r="49">
      <c r="A49" s="4" t="inlineStr">
        <is>
          <t>SC-House-048</t>
        </is>
      </c>
      <c r="B49" s="4" t="inlineStr">
        <is>
          <t>House District 48</t>
        </is>
      </c>
      <c r="C49" s="4" t="inlineStr">
        <is>
          <t>House</t>
        </is>
      </c>
      <c r="D49" s="4" t="n">
        <v>48</v>
      </c>
      <c r="E49" s="4" t="inlineStr">
        <is>
          <t>Brandon Guffey</t>
        </is>
      </c>
      <c r="F49" s="4" t="inlineStr">
        <is>
          <t>R</t>
        </is>
      </c>
      <c r="G49" s="4" t="n">
        <v>2022</v>
      </c>
      <c r="H49" s="4" t="n">
        <v>2026</v>
      </c>
      <c r="I49" s="4" t="inlineStr">
        <is>
          <t>York</t>
        </is>
      </c>
      <c r="J49" s="4" t="inlineStr">
        <is>
          <t>York</t>
        </is>
      </c>
      <c r="K49" s="4" t="inlineStr">
        <is>
          <t>Upstate</t>
        </is>
      </c>
      <c r="L49" s="4" t="n">
        <v>2</v>
      </c>
      <c r="M49" s="7" t="n">
        <v>8.6</v>
      </c>
      <c r="N49" s="8" t="n">
        <v>36003</v>
      </c>
      <c r="O49" s="4" t="inlineStr">
        <is>
          <t>Veteran</t>
        </is>
      </c>
      <c r="P49" s="4" t="inlineStr">
        <is>
          <t>Suburban</t>
        </is>
      </c>
      <c r="Q49" s="8" t="n">
        <v>40000</v>
      </c>
      <c r="R49" s="4" t="n">
        <v>5</v>
      </c>
      <c r="S49" s="4">
        <f>IF(ISNUMBER(M49), M49&lt;10, FALSE)</f>
        <v/>
      </c>
      <c r="T49" s="4">
        <f>IF(AND(F49="R", S49=TRUE), "High-D-Recruit", IF(O49="Open", "Open-Seat", IF(S49=TRUE, "Monitor", "Low")))</f>
        <v/>
      </c>
      <c r="U49" s="4">
        <f>IF(F49="R", TRUE, FALSE)</f>
        <v/>
      </c>
      <c r="V49" s="4">
        <f>IF(R49&gt;=7, "High", IF(R49&gt;=4, "Medium", "Low"))</f>
        <v/>
      </c>
    </row>
    <row r="50">
      <c r="A50" s="4" t="inlineStr">
        <is>
          <t>SC-House-049</t>
        </is>
      </c>
      <c r="B50" s="4" t="inlineStr">
        <is>
          <t>House District 49</t>
        </is>
      </c>
      <c r="C50" s="4" t="inlineStr">
        <is>
          <t>House</t>
        </is>
      </c>
      <c r="D50" s="4" t="n">
        <v>49</v>
      </c>
      <c r="E50" s="4" t="inlineStr">
        <is>
          <t>John Richard C. King</t>
        </is>
      </c>
      <c r="F50" s="4" t="inlineStr">
        <is>
          <t>D</t>
        </is>
      </c>
      <c r="G50" s="4" t="n">
        <v>2022</v>
      </c>
      <c r="H50" s="4" t="n">
        <v>2026</v>
      </c>
      <c r="I50" s="4" t="inlineStr">
        <is>
          <t>Kershaw</t>
        </is>
      </c>
      <c r="J50" s="4" t="inlineStr">
        <is>
          <t>Kershaw, Richland</t>
        </is>
      </c>
      <c r="K50" s="4" t="inlineStr">
        <is>
          <t>Midlands</t>
        </is>
      </c>
      <c r="L50" s="4" t="n">
        <v>2</v>
      </c>
      <c r="M50" s="7" t="n">
        <v>13.4</v>
      </c>
      <c r="N50" s="8" t="n">
        <v>15106</v>
      </c>
      <c r="O50" s="4" t="inlineStr">
        <is>
          <t>Veteran</t>
        </is>
      </c>
      <c r="P50" s="4" t="inlineStr">
        <is>
          <t>Mixed</t>
        </is>
      </c>
      <c r="Q50" s="8" t="n">
        <v>40000</v>
      </c>
      <c r="R50" s="4" t="n">
        <v>2</v>
      </c>
      <c r="S50" s="4">
        <f>IF(ISNUMBER(M50), M50&lt;10, FALSE)</f>
        <v/>
      </c>
      <c r="T50" s="4">
        <f>IF(AND(F50="R", S50=TRUE), "High-D-Recruit", IF(O50="Open", "Open-Seat", IF(S50=TRUE, "Monitor", "Low")))</f>
        <v/>
      </c>
      <c r="U50" s="4">
        <f>IF(F50="R", TRUE, FALSE)</f>
        <v/>
      </c>
      <c r="V50" s="4">
        <f>IF(R50&gt;=7, "High", IF(R50&gt;=4, "Medium", "Low"))</f>
        <v/>
      </c>
    </row>
    <row r="51">
      <c r="A51" s="4" t="inlineStr">
        <is>
          <t>SC-House-050</t>
        </is>
      </c>
      <c r="B51" s="4" t="inlineStr">
        <is>
          <t>House District 50</t>
        </is>
      </c>
      <c r="C51" s="4" t="inlineStr">
        <is>
          <t>House</t>
        </is>
      </c>
      <c r="D51" s="4" t="n">
        <v>50</v>
      </c>
      <c r="E51" s="4" t="inlineStr">
        <is>
          <t>Keishan M. Scott</t>
        </is>
      </c>
      <c r="F51" s="4" t="inlineStr">
        <is>
          <t>D</t>
        </is>
      </c>
      <c r="G51" s="4" t="n">
        <v>2024</v>
      </c>
      <c r="H51" s="4" t="n">
        <v>2026</v>
      </c>
      <c r="I51" s="4" t="inlineStr">
        <is>
          <t>Chesterfield</t>
        </is>
      </c>
      <c r="J51" s="4" t="inlineStr">
        <is>
          <t>Chesterfield, Marlboro</t>
        </is>
      </c>
      <c r="K51" s="4" t="inlineStr">
        <is>
          <t>Pee Dee</t>
        </is>
      </c>
      <c r="L51" s="4" t="n">
        <v>1</v>
      </c>
      <c r="M51" s="4" t="inlineStr">
        <is>
          <t>Unopposed</t>
        </is>
      </c>
      <c r="N51" s="8" t="n">
        <v>24349</v>
      </c>
      <c r="O51" s="4" t="inlineStr">
        <is>
          <t>First-term</t>
        </is>
      </c>
      <c r="P51" s="4" t="inlineStr">
        <is>
          <t>Rural</t>
        </is>
      </c>
      <c r="Q51" s="8" t="n">
        <v>40000</v>
      </c>
      <c r="R51" s="4" t="n">
        <v>2</v>
      </c>
      <c r="S51" s="4">
        <f>IF(ISNUMBER(M51), M51&lt;10, FALSE)</f>
        <v/>
      </c>
      <c r="T51" s="4">
        <f>IF(AND(F51="R", S51=TRUE), "High-D-Recruit", IF(O51="Open", "Open-Seat", IF(S51=TRUE, "Monitor", "Low")))</f>
        <v/>
      </c>
      <c r="U51" s="4">
        <f>IF(F51="R", TRUE, FALSE)</f>
        <v/>
      </c>
      <c r="V51" s="4">
        <f>IF(R51&gt;=7, "High", IF(R51&gt;=4, "Medium", "Low"))</f>
        <v/>
      </c>
    </row>
    <row r="52">
      <c r="A52" s="4" t="inlineStr">
        <is>
          <t>SC-House-051</t>
        </is>
      </c>
      <c r="B52" s="4" t="inlineStr">
        <is>
          <t>House District 51</t>
        </is>
      </c>
      <c r="C52" s="4" t="inlineStr">
        <is>
          <t>House</t>
        </is>
      </c>
      <c r="D52" s="4" t="n">
        <v>51</v>
      </c>
      <c r="E52" s="4" t="inlineStr">
        <is>
          <t>J. David Weeks</t>
        </is>
      </c>
      <c r="F52" s="4" t="inlineStr">
        <is>
          <t>D</t>
        </is>
      </c>
      <c r="G52" s="4" t="n">
        <v>2020</v>
      </c>
      <c r="H52" s="4" t="n">
        <v>2026</v>
      </c>
      <c r="I52" s="4" t="inlineStr">
        <is>
          <t>Sumter</t>
        </is>
      </c>
      <c r="J52" s="4" t="inlineStr">
        <is>
          <t>Sumter</t>
        </is>
      </c>
      <c r="K52" s="4" t="inlineStr">
        <is>
          <t>Pee Dee</t>
        </is>
      </c>
      <c r="L52" s="4" t="n">
        <v>3</v>
      </c>
      <c r="M52" s="4" t="inlineStr">
        <is>
          <t>Unopposed</t>
        </is>
      </c>
      <c r="N52" s="8" t="n">
        <v>18201</v>
      </c>
      <c r="O52" s="4" t="inlineStr">
        <is>
          <t>Veteran</t>
        </is>
      </c>
      <c r="P52" s="4" t="inlineStr">
        <is>
          <t>Mixed</t>
        </is>
      </c>
      <c r="Q52" s="8" t="n">
        <v>40000</v>
      </c>
      <c r="R52" s="4" t="n">
        <v>1</v>
      </c>
      <c r="S52" s="4">
        <f>IF(ISNUMBER(M52), M52&lt;10, FALSE)</f>
        <v/>
      </c>
      <c r="T52" s="4">
        <f>IF(AND(F52="R", S52=TRUE), "High-D-Recruit", IF(O52="Open", "Open-Seat", IF(S52=TRUE, "Monitor", "Low")))</f>
        <v/>
      </c>
      <c r="U52" s="4">
        <f>IF(F52="R", TRUE, FALSE)</f>
        <v/>
      </c>
      <c r="V52" s="4">
        <f>IF(R52&gt;=7, "High", IF(R52&gt;=4, "Medium", "Low"))</f>
        <v/>
      </c>
    </row>
    <row r="53">
      <c r="A53" s="4" t="inlineStr">
        <is>
          <t>SC-House-052</t>
        </is>
      </c>
      <c r="B53" s="4" t="inlineStr">
        <is>
          <t>House District 52</t>
        </is>
      </c>
      <c r="C53" s="4" t="inlineStr">
        <is>
          <t>House</t>
        </is>
      </c>
      <c r="D53" s="4" t="n">
        <v>52</v>
      </c>
      <c r="E53" s="4" t="inlineStr">
        <is>
          <t>Jermaine L. Johnson, Sr.</t>
        </is>
      </c>
      <c r="F53" s="4" t="inlineStr">
        <is>
          <t>D</t>
        </is>
      </c>
      <c r="G53" s="4" t="n">
        <v>2022</v>
      </c>
      <c r="H53" s="4" t="n">
        <v>2026</v>
      </c>
      <c r="I53" s="4" t="inlineStr">
        <is>
          <t>Sumter</t>
        </is>
      </c>
      <c r="J53" s="4" t="inlineStr">
        <is>
          <t>Sumter, Lee</t>
        </is>
      </c>
      <c r="K53" s="4" t="inlineStr">
        <is>
          <t>Pee Dee</t>
        </is>
      </c>
      <c r="L53" s="4" t="n">
        <v>2</v>
      </c>
      <c r="M53" s="4" t="inlineStr">
        <is>
          <t>Unopposed</t>
        </is>
      </c>
      <c r="N53" s="8" t="n">
        <v>18317</v>
      </c>
      <c r="O53" s="4" t="inlineStr">
        <is>
          <t>Veteran</t>
        </is>
      </c>
      <c r="P53" s="4" t="inlineStr">
        <is>
          <t>Rural</t>
        </is>
      </c>
      <c r="Q53" s="8" t="n">
        <v>40000</v>
      </c>
      <c r="R53" s="4" t="n">
        <v>1</v>
      </c>
      <c r="S53" s="4">
        <f>IF(ISNUMBER(M53), M53&lt;10, FALSE)</f>
        <v/>
      </c>
      <c r="T53" s="4">
        <f>IF(AND(F53="R", S53=TRUE), "High-D-Recruit", IF(O53="Open", "Open-Seat", IF(S53=TRUE, "Monitor", "Low")))</f>
        <v/>
      </c>
      <c r="U53" s="4">
        <f>IF(F53="R", TRUE, FALSE)</f>
        <v/>
      </c>
      <c r="V53" s="4">
        <f>IF(R53&gt;=7, "High", IF(R53&gt;=4, "Medium", "Low"))</f>
        <v/>
      </c>
    </row>
    <row r="54">
      <c r="A54" s="4" t="inlineStr">
        <is>
          <t>SC-House-053</t>
        </is>
      </c>
      <c r="B54" s="4" t="inlineStr">
        <is>
          <t>House District 53</t>
        </is>
      </c>
      <c r="C54" s="4" t="inlineStr">
        <is>
          <t>House</t>
        </is>
      </c>
      <c r="D54" s="4" t="n">
        <v>53</v>
      </c>
      <c r="E54" s="4" t="inlineStr">
        <is>
          <t>Richard L. "Richie" Yow</t>
        </is>
      </c>
      <c r="F54" s="4" t="inlineStr">
        <is>
          <t>R</t>
        </is>
      </c>
      <c r="G54" s="4" t="n">
        <v>2010</v>
      </c>
      <c r="H54" s="4" t="n">
        <v>2026</v>
      </c>
      <c r="I54" s="4" t="inlineStr">
        <is>
          <t>Darlington</t>
        </is>
      </c>
      <c r="J54" s="4" t="inlineStr">
        <is>
          <t>Darlington, Chesterfield</t>
        </is>
      </c>
      <c r="K54" s="4" t="inlineStr">
        <is>
          <t>Pee Dee</t>
        </is>
      </c>
      <c r="L54" s="4" t="n">
        <v>8</v>
      </c>
      <c r="M54" s="4" t="inlineStr">
        <is>
          <t>Unopposed</t>
        </is>
      </c>
      <c r="N54" s="8" t="n">
        <v>24262</v>
      </c>
      <c r="O54" s="4" t="inlineStr">
        <is>
          <t>Long-serving</t>
        </is>
      </c>
      <c r="P54" s="4" t="inlineStr">
        <is>
          <t>Rural</t>
        </is>
      </c>
      <c r="Q54" s="8" t="n">
        <v>40000</v>
      </c>
      <c r="R54" s="4" t="n">
        <v>2</v>
      </c>
      <c r="S54" s="4">
        <f>IF(ISNUMBER(M54), M54&lt;10, FALSE)</f>
        <v/>
      </c>
      <c r="T54" s="4">
        <f>IF(AND(F54="R", S54=TRUE), "High-D-Recruit", IF(O54="Open", "Open-Seat", IF(S54=TRUE, "Monitor", "Low")))</f>
        <v/>
      </c>
      <c r="U54" s="4">
        <f>IF(F54="R", TRUE, FALSE)</f>
        <v/>
      </c>
      <c r="V54" s="4">
        <f>IF(R54&gt;=7, "High", IF(R54&gt;=4, "Medium", "Low"))</f>
        <v/>
      </c>
    </row>
    <row r="55">
      <c r="A55" s="4" t="inlineStr">
        <is>
          <t>SC-House-054</t>
        </is>
      </c>
      <c r="B55" s="4" t="inlineStr">
        <is>
          <t>House District 54</t>
        </is>
      </c>
      <c r="C55" s="4" t="inlineStr">
        <is>
          <t>House</t>
        </is>
      </c>
      <c r="D55" s="4" t="n">
        <v>54</v>
      </c>
      <c r="E55" s="4" t="inlineStr">
        <is>
          <t>Jason S. Luck</t>
        </is>
      </c>
      <c r="F55" s="4" t="inlineStr">
        <is>
          <t>D</t>
        </is>
      </c>
      <c r="G55" s="4" t="n">
        <v>2004</v>
      </c>
      <c r="H55" s="4" t="n">
        <v>2026</v>
      </c>
      <c r="I55" s="4" t="inlineStr">
        <is>
          <t>Lee</t>
        </is>
      </c>
      <c r="J55" s="4" t="inlineStr">
        <is>
          <t>Lee, Clarendon, Sumter</t>
        </is>
      </c>
      <c r="K55" s="4" t="inlineStr">
        <is>
          <t>Pee Dee</t>
        </is>
      </c>
      <c r="L55" s="4" t="n">
        <v>11</v>
      </c>
      <c r="M55" s="7" t="n">
        <v>20.7</v>
      </c>
      <c r="N55" s="8" t="n">
        <v>35937</v>
      </c>
      <c r="O55" s="4" t="inlineStr">
        <is>
          <t>Long-serving</t>
        </is>
      </c>
      <c r="P55" s="4" t="inlineStr">
        <is>
          <t>Rural</t>
        </is>
      </c>
      <c r="Q55" s="8" t="n">
        <v>40000</v>
      </c>
      <c r="R55" s="4" t="n">
        <v>1</v>
      </c>
      <c r="S55" s="4">
        <f>IF(ISNUMBER(M55), M55&lt;10, FALSE)</f>
        <v/>
      </c>
      <c r="T55" s="4">
        <f>IF(AND(F55="R", S55=TRUE), "High-D-Recruit", IF(O55="Open", "Open-Seat", IF(S55=TRUE, "Monitor", "Low")))</f>
        <v/>
      </c>
      <c r="U55" s="4">
        <f>IF(F55="R", TRUE, FALSE)</f>
        <v/>
      </c>
      <c r="V55" s="4">
        <f>IF(R55&gt;=7, "High", IF(R55&gt;=4, "Medium", "Low"))</f>
        <v/>
      </c>
    </row>
    <row r="56">
      <c r="A56" s="4" t="inlineStr">
        <is>
          <t>SC-House-055</t>
        </is>
      </c>
      <c r="B56" s="4" t="inlineStr">
        <is>
          <t>House District 55</t>
        </is>
      </c>
      <c r="C56" s="4" t="inlineStr">
        <is>
          <t>House</t>
        </is>
      </c>
      <c r="D56" s="4" t="n">
        <v>55</v>
      </c>
      <c r="E56" s="4" t="inlineStr">
        <is>
          <t>Jackie E. "Coach" Hayes</t>
        </is>
      </c>
      <c r="F56" s="4" t="inlineStr">
        <is>
          <t>D</t>
        </is>
      </c>
      <c r="G56" s="4" t="n">
        <v>2012</v>
      </c>
      <c r="H56" s="4" t="n">
        <v>2026</v>
      </c>
      <c r="I56" s="4" t="inlineStr">
        <is>
          <t>Dillon</t>
        </is>
      </c>
      <c r="J56" s="4" t="inlineStr">
        <is>
          <t>Dillon, Marion</t>
        </is>
      </c>
      <c r="K56" s="4" t="inlineStr">
        <is>
          <t>Pee Dee</t>
        </is>
      </c>
      <c r="L56" s="4" t="n">
        <v>7</v>
      </c>
      <c r="M56" s="7" t="n">
        <v>18.1</v>
      </c>
      <c r="N56" s="8" t="n">
        <v>20293</v>
      </c>
      <c r="O56" s="4" t="inlineStr">
        <is>
          <t>Long-serving</t>
        </is>
      </c>
      <c r="P56" s="4" t="inlineStr">
        <is>
          <t>Rural</t>
        </is>
      </c>
      <c r="Q56" s="8" t="n">
        <v>40000</v>
      </c>
      <c r="R56" s="4" t="n">
        <v>1</v>
      </c>
      <c r="S56" s="4">
        <f>IF(ISNUMBER(M56), M56&lt;10, FALSE)</f>
        <v/>
      </c>
      <c r="T56" s="4">
        <f>IF(AND(F56="R", S56=TRUE), "High-D-Recruit", IF(O56="Open", "Open-Seat", IF(S56=TRUE, "Monitor", "Low")))</f>
        <v/>
      </c>
      <c r="U56" s="4">
        <f>IF(F56="R", TRUE, FALSE)</f>
        <v/>
      </c>
      <c r="V56" s="4">
        <f>IF(R56&gt;=7, "High", IF(R56&gt;=4, "Medium", "Low"))</f>
        <v/>
      </c>
    </row>
    <row r="57">
      <c r="A57" s="4" t="inlineStr">
        <is>
          <t>SC-House-056</t>
        </is>
      </c>
      <c r="B57" s="4" t="inlineStr">
        <is>
          <t>House District 56</t>
        </is>
      </c>
      <c r="C57" s="4" t="inlineStr">
        <is>
          <t>House</t>
        </is>
      </c>
      <c r="D57" s="4" t="n">
        <v>56</v>
      </c>
      <c r="E57" s="4" t="inlineStr">
        <is>
          <t>Timothy A. "Tim" McGinnis</t>
        </is>
      </c>
      <c r="F57" s="4" t="inlineStr">
        <is>
          <t>R</t>
        </is>
      </c>
      <c r="G57" s="4" t="n">
        <v>2022</v>
      </c>
      <c r="H57" s="4" t="n">
        <v>2026</v>
      </c>
      <c r="I57" s="4" t="inlineStr">
        <is>
          <t>Marlboro</t>
        </is>
      </c>
      <c r="J57" s="4" t="inlineStr">
        <is>
          <t>Marlboro, Dillon</t>
        </is>
      </c>
      <c r="K57" s="4" t="inlineStr">
        <is>
          <t>Pee Dee</t>
        </is>
      </c>
      <c r="L57" s="4" t="n">
        <v>2</v>
      </c>
      <c r="M57" s="7" t="n">
        <v>24.2</v>
      </c>
      <c r="N57" s="8" t="n">
        <v>32378</v>
      </c>
      <c r="O57" s="4" t="inlineStr">
        <is>
          <t>Veteran</t>
        </is>
      </c>
      <c r="P57" s="4" t="inlineStr">
        <is>
          <t>Rural</t>
        </is>
      </c>
      <c r="Q57" s="8" t="n">
        <v>40000</v>
      </c>
      <c r="R57" s="4" t="n">
        <v>4</v>
      </c>
      <c r="S57" s="4">
        <f>IF(ISNUMBER(M57), M57&lt;10, FALSE)</f>
        <v/>
      </c>
      <c r="T57" s="4">
        <f>IF(AND(F57="R", S57=TRUE), "High-D-Recruit", IF(O57="Open", "Open-Seat", IF(S57=TRUE, "Monitor", "Low")))</f>
        <v/>
      </c>
      <c r="U57" s="4">
        <f>IF(F57="R", TRUE, FALSE)</f>
        <v/>
      </c>
      <c r="V57" s="4">
        <f>IF(R57&gt;=7, "High", IF(R57&gt;=4, "Medium", "Low"))</f>
        <v/>
      </c>
    </row>
    <row r="58">
      <c r="A58" s="4" t="inlineStr">
        <is>
          <t>SC-House-057</t>
        </is>
      </c>
      <c r="B58" s="4" t="inlineStr">
        <is>
          <t>House District 57</t>
        </is>
      </c>
      <c r="C58" s="4" t="inlineStr">
        <is>
          <t>House</t>
        </is>
      </c>
      <c r="D58" s="4" t="n">
        <v>57</v>
      </c>
      <c r="E58" s="4" t="inlineStr">
        <is>
          <t>Lucas Atkinson</t>
        </is>
      </c>
      <c r="F58" s="4" t="inlineStr">
        <is>
          <t>D</t>
        </is>
      </c>
      <c r="G58" s="4" t="n">
        <v>2014</v>
      </c>
      <c r="H58" s="4" t="n">
        <v>2026</v>
      </c>
      <c r="I58" s="4" t="inlineStr">
        <is>
          <t>Darlington</t>
        </is>
      </c>
      <c r="J58" s="4" t="inlineStr">
        <is>
          <t>Darlington, Florence</t>
        </is>
      </c>
      <c r="K58" s="4" t="inlineStr">
        <is>
          <t>Pee Dee</t>
        </is>
      </c>
      <c r="L58" s="4" t="n">
        <v>6</v>
      </c>
      <c r="M58" s="4" t="inlineStr">
        <is>
          <t>Unopposed</t>
        </is>
      </c>
      <c r="N58" s="8" t="n">
        <v>19813</v>
      </c>
      <c r="O58" s="4" t="inlineStr">
        <is>
          <t>Long-serving</t>
        </is>
      </c>
      <c r="P58" s="4" t="inlineStr">
        <is>
          <t>Mixed</t>
        </is>
      </c>
      <c r="Q58" s="8" t="n">
        <v>40000</v>
      </c>
      <c r="R58" s="4" t="n">
        <v>0</v>
      </c>
      <c r="S58" s="4">
        <f>IF(ISNUMBER(M58), M58&lt;10, FALSE)</f>
        <v/>
      </c>
      <c r="T58" s="4">
        <f>IF(AND(F58="R", S58=TRUE), "High-D-Recruit", IF(O58="Open", "Open-Seat", IF(S58=TRUE, "Monitor", "Low")))</f>
        <v/>
      </c>
      <c r="U58" s="4">
        <f>IF(F58="R", TRUE, FALSE)</f>
        <v/>
      </c>
      <c r="V58" s="4">
        <f>IF(R58&gt;=7, "High", IF(R58&gt;=4, "Medium", "Low"))</f>
        <v/>
      </c>
    </row>
    <row r="59">
      <c r="A59" s="4" t="inlineStr">
        <is>
          <t>SC-House-058</t>
        </is>
      </c>
      <c r="B59" s="4" t="inlineStr">
        <is>
          <t>House District 58</t>
        </is>
      </c>
      <c r="C59" s="4" t="inlineStr">
        <is>
          <t>House</t>
        </is>
      </c>
      <c r="D59" s="4" t="n">
        <v>58</v>
      </c>
      <c r="E59" s="4" t="inlineStr">
        <is>
          <t>Jeffrey E. "Jeff" Johnson</t>
        </is>
      </c>
      <c r="F59" s="4" t="inlineStr">
        <is>
          <t>R</t>
        </is>
      </c>
      <c r="G59" s="4" t="n">
        <v>2022</v>
      </c>
      <c r="H59" s="4" t="n">
        <v>2026</v>
      </c>
      <c r="I59" s="4" t="inlineStr">
        <is>
          <t>Florence</t>
        </is>
      </c>
      <c r="J59" s="4" t="inlineStr">
        <is>
          <t>Florence</t>
        </is>
      </c>
      <c r="K59" s="4" t="inlineStr">
        <is>
          <t>Pee Dee</t>
        </is>
      </c>
      <c r="L59" s="4" t="n">
        <v>2</v>
      </c>
      <c r="M59" s="7" t="n">
        <v>37.8</v>
      </c>
      <c r="N59" s="8" t="n">
        <v>25076</v>
      </c>
      <c r="O59" s="4" t="inlineStr">
        <is>
          <t>Veteran</t>
        </is>
      </c>
      <c r="P59" s="4" t="inlineStr">
        <is>
          <t>Mixed</t>
        </is>
      </c>
      <c r="Q59" s="8" t="n">
        <v>40000</v>
      </c>
      <c r="R59" s="4" t="n">
        <v>4</v>
      </c>
      <c r="S59" s="4">
        <f>IF(ISNUMBER(M59), M59&lt;10, FALSE)</f>
        <v/>
      </c>
      <c r="T59" s="4">
        <f>IF(AND(F59="R", S59=TRUE), "High-D-Recruit", IF(O59="Open", "Open-Seat", IF(S59=TRUE, "Monitor", "Low")))</f>
        <v/>
      </c>
      <c r="U59" s="4">
        <f>IF(F59="R", TRUE, FALSE)</f>
        <v/>
      </c>
      <c r="V59" s="4">
        <f>IF(R59&gt;=7, "High", IF(R59&gt;=4, "Medium", "Low"))</f>
        <v/>
      </c>
    </row>
    <row r="60">
      <c r="A60" s="4" t="inlineStr">
        <is>
          <t>SC-House-059</t>
        </is>
      </c>
      <c r="B60" s="4" t="inlineStr">
        <is>
          <t>House District 59</t>
        </is>
      </c>
      <c r="C60" s="4" t="inlineStr">
        <is>
          <t>House</t>
        </is>
      </c>
      <c r="D60" s="4" t="n">
        <v>59</v>
      </c>
      <c r="E60" s="4" t="inlineStr">
        <is>
          <t>Terry Alexander</t>
        </is>
      </c>
      <c r="F60" s="4" t="inlineStr">
        <is>
          <t>D</t>
        </is>
      </c>
      <c r="G60" s="4" t="n">
        <v>2024</v>
      </c>
      <c r="H60" s="4" t="n">
        <v>2026</v>
      </c>
      <c r="I60" s="4" t="inlineStr">
        <is>
          <t>Florence</t>
        </is>
      </c>
      <c r="J60" s="4" t="inlineStr">
        <is>
          <t>Florence, Darlington</t>
        </is>
      </c>
      <c r="K60" s="4" t="inlineStr">
        <is>
          <t>Pee Dee</t>
        </is>
      </c>
      <c r="L60" s="4" t="n">
        <v>1</v>
      </c>
      <c r="M60" s="7" t="n">
        <v>17.8</v>
      </c>
      <c r="N60" s="8" t="n">
        <v>22892</v>
      </c>
      <c r="O60" s="4" t="inlineStr">
        <is>
          <t>First-term</t>
        </is>
      </c>
      <c r="P60" s="4" t="inlineStr">
        <is>
          <t>Mixed</t>
        </is>
      </c>
      <c r="Q60" s="8" t="n">
        <v>40000</v>
      </c>
      <c r="R60" s="4" t="n">
        <v>3</v>
      </c>
      <c r="S60" s="4">
        <f>IF(ISNUMBER(M60), M60&lt;10, FALSE)</f>
        <v/>
      </c>
      <c r="T60" s="4">
        <f>IF(AND(F60="R", S60=TRUE), "High-D-Recruit", IF(O60="Open", "Open-Seat", IF(S60=TRUE, "Monitor", "Low")))</f>
        <v/>
      </c>
      <c r="U60" s="4">
        <f>IF(F60="R", TRUE, FALSE)</f>
        <v/>
      </c>
      <c r="V60" s="4">
        <f>IF(R60&gt;=7, "High", IF(R60&gt;=4, "Medium", "Low"))</f>
        <v/>
      </c>
    </row>
    <row r="61">
      <c r="A61" s="4" t="inlineStr">
        <is>
          <t>SC-House-060</t>
        </is>
      </c>
      <c r="B61" s="4" t="inlineStr">
        <is>
          <t>House District 60</t>
        </is>
      </c>
      <c r="C61" s="4" t="inlineStr">
        <is>
          <t>House</t>
        </is>
      </c>
      <c r="D61" s="4" t="n">
        <v>60</v>
      </c>
      <c r="E61" s="4" t="inlineStr">
        <is>
          <t>Phillip D. Lowe</t>
        </is>
      </c>
      <c r="F61" s="4" t="inlineStr">
        <is>
          <t>R</t>
        </is>
      </c>
      <c r="G61" s="4" t="n">
        <v>2014</v>
      </c>
      <c r="H61" s="4" t="n">
        <v>2026</v>
      </c>
      <c r="I61" s="4" t="inlineStr">
        <is>
          <t>Florence</t>
        </is>
      </c>
      <c r="J61" s="4" t="inlineStr">
        <is>
          <t>Florence</t>
        </is>
      </c>
      <c r="K61" s="4" t="inlineStr">
        <is>
          <t>Pee Dee</t>
        </is>
      </c>
      <c r="L61" s="4" t="n">
        <v>6</v>
      </c>
      <c r="M61" s="4" t="inlineStr">
        <is>
          <t>Unopposed</t>
        </is>
      </c>
      <c r="N61" s="8" t="n">
        <v>11290</v>
      </c>
      <c r="O61" s="4" t="inlineStr">
        <is>
          <t>Long-serving</t>
        </is>
      </c>
      <c r="P61" s="4" t="inlineStr">
        <is>
          <t>Mixed</t>
        </is>
      </c>
      <c r="Q61" s="8" t="n">
        <v>40000</v>
      </c>
      <c r="R61" s="4" t="n">
        <v>2</v>
      </c>
      <c r="S61" s="4">
        <f>IF(ISNUMBER(M61), M61&lt;10, FALSE)</f>
        <v/>
      </c>
      <c r="T61" s="4">
        <f>IF(AND(F61="R", S61=TRUE), "High-D-Recruit", IF(O61="Open", "Open-Seat", IF(S61=TRUE, "Monitor", "Low")))</f>
        <v/>
      </c>
      <c r="U61" s="4">
        <f>IF(F61="R", TRUE, FALSE)</f>
        <v/>
      </c>
      <c r="V61" s="4">
        <f>IF(R61&gt;=7, "High", IF(R61&gt;=4, "Medium", "Low"))</f>
        <v/>
      </c>
    </row>
    <row r="62">
      <c r="A62" s="4" t="inlineStr">
        <is>
          <t>SC-House-061</t>
        </is>
      </c>
      <c r="B62" s="4" t="inlineStr">
        <is>
          <t>House District 61</t>
        </is>
      </c>
      <c r="C62" s="4" t="inlineStr">
        <is>
          <t>House</t>
        </is>
      </c>
      <c r="D62" s="4" t="n">
        <v>61</v>
      </c>
      <c r="E62" s="4" t="inlineStr">
        <is>
          <t>Carla Schuessler</t>
        </is>
      </c>
      <c r="F62" s="4" t="inlineStr">
        <is>
          <t>R</t>
        </is>
      </c>
      <c r="G62" s="4" t="n">
        <v>2000</v>
      </c>
      <c r="H62" s="4" t="n">
        <v>2026</v>
      </c>
      <c r="I62" s="4" t="inlineStr">
        <is>
          <t>Florence</t>
        </is>
      </c>
      <c r="J62" s="4" t="inlineStr">
        <is>
          <t>Florence, Marion</t>
        </is>
      </c>
      <c r="K62" s="4" t="inlineStr">
        <is>
          <t>Pee Dee</t>
        </is>
      </c>
      <c r="L62" s="4" t="n">
        <v>13</v>
      </c>
      <c r="M62" s="7" t="n">
        <v>11.2</v>
      </c>
      <c r="N62" s="8" t="n">
        <v>39923</v>
      </c>
      <c r="O62" s="4" t="inlineStr">
        <is>
          <t>Long-serving</t>
        </is>
      </c>
      <c r="P62" s="4" t="inlineStr">
        <is>
          <t>Rural</t>
        </is>
      </c>
      <c r="Q62" s="8" t="n">
        <v>40000</v>
      </c>
      <c r="R62" s="4" t="n">
        <v>3</v>
      </c>
      <c r="S62" s="4">
        <f>IF(ISNUMBER(M62), M62&lt;10, FALSE)</f>
        <v/>
      </c>
      <c r="T62" s="4">
        <f>IF(AND(F62="R", S62=TRUE), "High-D-Recruit", IF(O62="Open", "Open-Seat", IF(S62=TRUE, "Monitor", "Low")))</f>
        <v/>
      </c>
      <c r="U62" s="4">
        <f>IF(F62="R", TRUE, FALSE)</f>
        <v/>
      </c>
      <c r="V62" s="4">
        <f>IF(R62&gt;=7, "High", IF(R62&gt;=4, "Medium", "Low"))</f>
        <v/>
      </c>
    </row>
    <row r="63">
      <c r="A63" s="4" t="inlineStr">
        <is>
          <t>SC-House-062</t>
        </is>
      </c>
      <c r="B63" s="4" t="inlineStr">
        <is>
          <t>House District 62</t>
        </is>
      </c>
      <c r="C63" s="4" t="inlineStr">
        <is>
          <t>House</t>
        </is>
      </c>
      <c r="D63" s="4" t="n">
        <v>62</v>
      </c>
      <c r="E63" s="4" t="inlineStr">
        <is>
          <t>Robert Q. Williams</t>
        </is>
      </c>
      <c r="F63" s="4" t="inlineStr">
        <is>
          <t>D</t>
        </is>
      </c>
      <c r="G63" s="4" t="n">
        <v>2024</v>
      </c>
      <c r="H63" s="4" t="n">
        <v>2026</v>
      </c>
      <c r="I63" s="4" t="inlineStr">
        <is>
          <t>Williamsburg</t>
        </is>
      </c>
      <c r="J63" s="4" t="inlineStr">
        <is>
          <t>Williamsburg, Georgetown</t>
        </is>
      </c>
      <c r="K63" s="4" t="inlineStr">
        <is>
          <t>Pee Dee</t>
        </is>
      </c>
      <c r="L63" s="4" t="n">
        <v>1</v>
      </c>
      <c r="M63" s="7" t="n">
        <v>15.3</v>
      </c>
      <c r="N63" s="8" t="n">
        <v>19120</v>
      </c>
      <c r="O63" s="4" t="inlineStr">
        <is>
          <t>First-term</t>
        </is>
      </c>
      <c r="P63" s="4" t="inlineStr">
        <is>
          <t>Rural</t>
        </is>
      </c>
      <c r="Q63" s="8" t="n">
        <v>40000</v>
      </c>
      <c r="R63" s="4" t="n">
        <v>3</v>
      </c>
      <c r="S63" s="4">
        <f>IF(ISNUMBER(M63), M63&lt;10, FALSE)</f>
        <v/>
      </c>
      <c r="T63" s="4">
        <f>IF(AND(F63="R", S63=TRUE), "High-D-Recruit", IF(O63="Open", "Open-Seat", IF(S63=TRUE, "Monitor", "Low")))</f>
        <v/>
      </c>
      <c r="U63" s="4">
        <f>IF(F63="R", TRUE, FALSE)</f>
        <v/>
      </c>
      <c r="V63" s="4">
        <f>IF(R63&gt;=7, "High", IF(R63&gt;=4, "Medium", "Low"))</f>
        <v/>
      </c>
    </row>
    <row r="64">
      <c r="A64" s="4" t="inlineStr">
        <is>
          <t>SC-House-063</t>
        </is>
      </c>
      <c r="B64" s="4" t="inlineStr">
        <is>
          <t>House District 63</t>
        </is>
      </c>
      <c r="C64" s="4" t="inlineStr">
        <is>
          <t>House</t>
        </is>
      </c>
      <c r="D64" s="4" t="n">
        <v>63</v>
      </c>
      <c r="E64" s="4" t="inlineStr">
        <is>
          <t>Wallace H. "Jay" Jordan, Jr.</t>
        </is>
      </c>
      <c r="F64" s="4" t="inlineStr">
        <is>
          <t>R</t>
        </is>
      </c>
      <c r="G64" s="4" t="n">
        <v>2024</v>
      </c>
      <c r="H64" s="4" t="n">
        <v>2026</v>
      </c>
      <c r="I64" s="4" t="inlineStr">
        <is>
          <t>Horry</t>
        </is>
      </c>
      <c r="J64" s="4" t="inlineStr">
        <is>
          <t>Horry</t>
        </is>
      </c>
      <c r="K64" s="4" t="inlineStr">
        <is>
          <t>Pee Dee</t>
        </is>
      </c>
      <c r="L64" s="4" t="n">
        <v>1</v>
      </c>
      <c r="M64" s="7" t="n">
        <v>2.5</v>
      </c>
      <c r="N64" s="8" t="n">
        <v>23685</v>
      </c>
      <c r="O64" s="4" t="inlineStr">
        <is>
          <t>First-term</t>
        </is>
      </c>
      <c r="P64" s="4" t="inlineStr">
        <is>
          <t>Suburban</t>
        </is>
      </c>
      <c r="Q64" s="8" t="n">
        <v>40000</v>
      </c>
      <c r="R64" s="4" t="n">
        <v>7</v>
      </c>
      <c r="S64" s="4">
        <f>IF(ISNUMBER(M64), M64&lt;10, FALSE)</f>
        <v/>
      </c>
      <c r="T64" s="4">
        <f>IF(AND(F64="R", S64=TRUE), "High-D-Recruit", IF(O64="Open", "Open-Seat", IF(S64=TRUE, "Monitor", "Low")))</f>
        <v/>
      </c>
      <c r="U64" s="4">
        <f>IF(F64="R", TRUE, FALSE)</f>
        <v/>
      </c>
      <c r="V64" s="4">
        <f>IF(R64&gt;=7, "High", IF(R64&gt;=4, "Medium", "Low"))</f>
        <v/>
      </c>
    </row>
    <row r="65">
      <c r="A65" s="4" t="inlineStr">
        <is>
          <t>SC-House-064</t>
        </is>
      </c>
      <c r="B65" s="4" t="inlineStr">
        <is>
          <t>House District 64</t>
        </is>
      </c>
      <c r="C65" s="4" t="inlineStr">
        <is>
          <t>House</t>
        </is>
      </c>
      <c r="D65" s="4" t="n">
        <v>64</v>
      </c>
      <c r="E65" s="4" t="inlineStr">
        <is>
          <t>Fawn M. Pedalino</t>
        </is>
      </c>
      <c r="F65" s="4" t="inlineStr">
        <is>
          <t>R</t>
        </is>
      </c>
      <c r="G65" s="4" t="n">
        <v>2024</v>
      </c>
      <c r="H65" s="4" t="n">
        <v>2026</v>
      </c>
      <c r="I65" s="4" t="inlineStr">
        <is>
          <t>Horry</t>
        </is>
      </c>
      <c r="J65" s="4" t="inlineStr">
        <is>
          <t>Horry</t>
        </is>
      </c>
      <c r="K65" s="4" t="inlineStr">
        <is>
          <t>Pee Dee</t>
        </is>
      </c>
      <c r="L65" s="4" t="n">
        <v>1</v>
      </c>
      <c r="M65" s="7" t="n">
        <v>17</v>
      </c>
      <c r="N65" s="8" t="n">
        <v>34876</v>
      </c>
      <c r="O65" s="4" t="inlineStr">
        <is>
          <t>First-term</t>
        </is>
      </c>
      <c r="P65" s="4" t="inlineStr">
        <is>
          <t>Suburban</t>
        </is>
      </c>
      <c r="Q65" s="8" t="n">
        <v>40000</v>
      </c>
      <c r="R65" s="4" t="n">
        <v>5</v>
      </c>
      <c r="S65" s="4">
        <f>IF(ISNUMBER(M65), M65&lt;10, FALSE)</f>
        <v/>
      </c>
      <c r="T65" s="4">
        <f>IF(AND(F65="R", S65=TRUE), "High-D-Recruit", IF(O65="Open", "Open-Seat", IF(S65=TRUE, "Monitor", "Low")))</f>
        <v/>
      </c>
      <c r="U65" s="4">
        <f>IF(F65="R", TRUE, FALSE)</f>
        <v/>
      </c>
      <c r="V65" s="4">
        <f>IF(R65&gt;=7, "High", IF(R65&gt;=4, "Medium", "Low"))</f>
        <v/>
      </c>
    </row>
    <row r="66">
      <c r="A66" s="4" t="inlineStr">
        <is>
          <t>SC-House-065</t>
        </is>
      </c>
      <c r="B66" s="4" t="inlineStr">
        <is>
          <t>House District 65</t>
        </is>
      </c>
      <c r="C66" s="4" t="inlineStr">
        <is>
          <t>House</t>
        </is>
      </c>
      <c r="D66" s="4" t="n">
        <v>65</v>
      </c>
      <c r="E66" s="4" t="inlineStr">
        <is>
          <t>Cody T. Mitchell</t>
        </is>
      </c>
      <c r="F66" s="4" t="inlineStr">
        <is>
          <t>R</t>
        </is>
      </c>
      <c r="G66" s="4" t="n">
        <v>2002</v>
      </c>
      <c r="H66" s="4" t="n">
        <v>2026</v>
      </c>
      <c r="I66" s="4" t="inlineStr">
        <is>
          <t>Horry</t>
        </is>
      </c>
      <c r="J66" s="4" t="inlineStr">
        <is>
          <t>Horry</t>
        </is>
      </c>
      <c r="K66" s="4" t="inlineStr">
        <is>
          <t>Pee Dee</t>
        </is>
      </c>
      <c r="L66" s="4" t="n">
        <v>12</v>
      </c>
      <c r="M66" s="7" t="n">
        <v>18</v>
      </c>
      <c r="N66" s="8" t="n">
        <v>38918</v>
      </c>
      <c r="O66" s="4" t="inlineStr">
        <is>
          <t>Long-serving</t>
        </is>
      </c>
      <c r="P66" s="4" t="inlineStr">
        <is>
          <t>Suburban</t>
        </is>
      </c>
      <c r="Q66" s="8" t="n">
        <v>40000</v>
      </c>
      <c r="R66" s="4" t="n">
        <v>3</v>
      </c>
      <c r="S66" s="4">
        <f>IF(ISNUMBER(M66), M66&lt;10, FALSE)</f>
        <v/>
      </c>
      <c r="T66" s="4">
        <f>IF(AND(F66="R", S66=TRUE), "High-D-Recruit", IF(O66="Open", "Open-Seat", IF(S66=TRUE, "Monitor", "Low")))</f>
        <v/>
      </c>
      <c r="U66" s="4">
        <f>IF(F66="R", TRUE, FALSE)</f>
        <v/>
      </c>
      <c r="V66" s="4">
        <f>IF(R66&gt;=7, "High", IF(R66&gt;=4, "Medium", "Low"))</f>
        <v/>
      </c>
    </row>
    <row r="67">
      <c r="A67" s="4" t="inlineStr">
        <is>
          <t>SC-House-066</t>
        </is>
      </c>
      <c r="B67" s="4" t="inlineStr">
        <is>
          <t>House District 66</t>
        </is>
      </c>
      <c r="C67" s="4" t="inlineStr">
        <is>
          <t>House</t>
        </is>
      </c>
      <c r="D67" s="4" t="n">
        <v>66</v>
      </c>
      <c r="E67" s="4" t="inlineStr">
        <is>
          <t>Jackie R. Terribile</t>
        </is>
      </c>
      <c r="F67" s="4" t="inlineStr">
        <is>
          <t>R</t>
        </is>
      </c>
      <c r="G67" s="4" t="n">
        <v>2022</v>
      </c>
      <c r="H67" s="4" t="n">
        <v>2026</v>
      </c>
      <c r="I67" s="4" t="inlineStr">
        <is>
          <t>Horry</t>
        </is>
      </c>
      <c r="J67" s="4" t="inlineStr">
        <is>
          <t>Horry</t>
        </is>
      </c>
      <c r="K67" s="4" t="inlineStr">
        <is>
          <t>Pee Dee</t>
        </is>
      </c>
      <c r="L67" s="4" t="n">
        <v>2</v>
      </c>
      <c r="M67" s="7" t="n">
        <v>27.1</v>
      </c>
      <c r="N67" s="8" t="n">
        <v>38361</v>
      </c>
      <c r="O67" s="4" t="inlineStr">
        <is>
          <t>Veteran</t>
        </is>
      </c>
      <c r="P67" s="4" t="inlineStr">
        <is>
          <t>Suburban</t>
        </is>
      </c>
      <c r="Q67" s="8" t="n">
        <v>40000</v>
      </c>
      <c r="R67" s="4" t="n">
        <v>4</v>
      </c>
      <c r="S67" s="4">
        <f>IF(ISNUMBER(M67), M67&lt;10, FALSE)</f>
        <v/>
      </c>
      <c r="T67" s="4">
        <f>IF(AND(F67="R", S67=TRUE), "High-D-Recruit", IF(O67="Open", "Open-Seat", IF(S67=TRUE, "Monitor", "Low")))</f>
        <v/>
      </c>
      <c r="U67" s="4">
        <f>IF(F67="R", TRUE, FALSE)</f>
        <v/>
      </c>
      <c r="V67" s="4">
        <f>IF(R67&gt;=7, "High", IF(R67&gt;=4, "Medium", "Low"))</f>
        <v/>
      </c>
    </row>
    <row r="68">
      <c r="A68" s="4" t="inlineStr">
        <is>
          <t>SC-House-067</t>
        </is>
      </c>
      <c r="B68" s="4" t="inlineStr">
        <is>
          <t>House District 67</t>
        </is>
      </c>
      <c r="C68" s="4" t="inlineStr">
        <is>
          <t>House</t>
        </is>
      </c>
      <c r="D68" s="4" t="n">
        <v>67</v>
      </c>
      <c r="E68" s="4" t="inlineStr">
        <is>
          <t>G. Murrell Smith, Jr.</t>
        </is>
      </c>
      <c r="F68" s="4" t="inlineStr">
        <is>
          <t>R</t>
        </is>
      </c>
      <c r="G68" s="4" t="n">
        <v>2024</v>
      </c>
      <c r="H68" s="4" t="n">
        <v>2026</v>
      </c>
      <c r="I68" s="4" t="inlineStr">
        <is>
          <t>Sumter</t>
        </is>
      </c>
      <c r="J68" s="4" t="inlineStr">
        <is>
          <t>Sumter, Clarendon</t>
        </is>
      </c>
      <c r="K68" s="4" t="inlineStr">
        <is>
          <t>Pee Dee</t>
        </is>
      </c>
      <c r="L68" s="4" t="n">
        <v>1</v>
      </c>
      <c r="M68" s="7" t="n">
        <v>29.5</v>
      </c>
      <c r="N68" s="8" t="n">
        <v>29355</v>
      </c>
      <c r="O68" s="4" t="inlineStr">
        <is>
          <t>First-term</t>
        </is>
      </c>
      <c r="P68" s="4" t="inlineStr">
        <is>
          <t>Mixed</t>
        </is>
      </c>
      <c r="Q68" s="8" t="n">
        <v>40000</v>
      </c>
      <c r="R68" s="4" t="n">
        <v>5</v>
      </c>
      <c r="S68" s="4">
        <f>IF(ISNUMBER(M68), M68&lt;10, FALSE)</f>
        <v/>
      </c>
      <c r="T68" s="4">
        <f>IF(AND(F68="R", S68=TRUE), "High-D-Recruit", IF(O68="Open", "Open-Seat", IF(S68=TRUE, "Monitor", "Low")))</f>
        <v/>
      </c>
      <c r="U68" s="4">
        <f>IF(F68="R", TRUE, FALSE)</f>
        <v/>
      </c>
      <c r="V68" s="4">
        <f>IF(R68&gt;=7, "High", IF(R68&gt;=4, "Medium", "Low"))</f>
        <v/>
      </c>
    </row>
    <row r="69">
      <c r="A69" s="4" t="inlineStr">
        <is>
          <t>SC-House-068</t>
        </is>
      </c>
      <c r="B69" s="4" t="inlineStr">
        <is>
          <t>House District 68</t>
        </is>
      </c>
      <c r="C69" s="4" t="inlineStr">
        <is>
          <t>House</t>
        </is>
      </c>
      <c r="D69" s="4" t="n">
        <v>68</v>
      </c>
      <c r="E69" s="4" t="inlineStr">
        <is>
          <t>Heather Ammons Crawford</t>
        </is>
      </c>
      <c r="F69" s="4" t="inlineStr">
        <is>
          <t>R</t>
        </is>
      </c>
      <c r="G69" s="4" t="n">
        <v>2018</v>
      </c>
      <c r="H69" s="4" t="n">
        <v>2026</v>
      </c>
      <c r="I69" s="4" t="inlineStr">
        <is>
          <t>Horry</t>
        </is>
      </c>
      <c r="J69" s="4" t="inlineStr">
        <is>
          <t>Horry</t>
        </is>
      </c>
      <c r="K69" s="4" t="inlineStr">
        <is>
          <t>Pee Dee</t>
        </is>
      </c>
      <c r="L69" s="4" t="n">
        <v>4</v>
      </c>
      <c r="M69" s="4" t="inlineStr">
        <is>
          <t>Unopposed</t>
        </is>
      </c>
      <c r="N69" s="8" t="n">
        <v>17397</v>
      </c>
      <c r="O69" s="4" t="inlineStr">
        <is>
          <t>Veteran</t>
        </is>
      </c>
      <c r="P69" s="4" t="inlineStr">
        <is>
          <t>Suburban</t>
        </is>
      </c>
      <c r="Q69" s="8" t="n">
        <v>40000</v>
      </c>
      <c r="R69" s="4" t="n">
        <v>3</v>
      </c>
      <c r="S69" s="4">
        <f>IF(ISNUMBER(M69), M69&lt;10, FALSE)</f>
        <v/>
      </c>
      <c r="T69" s="4">
        <f>IF(AND(F69="R", S69=TRUE), "High-D-Recruit", IF(O69="Open", "Open-Seat", IF(S69=TRUE, "Monitor", "Low")))</f>
        <v/>
      </c>
      <c r="U69" s="4">
        <f>IF(F69="R", TRUE, FALSE)</f>
        <v/>
      </c>
      <c r="V69" s="4">
        <f>IF(R69&gt;=7, "High", IF(R69&gt;=4, "Medium", "Low"))</f>
        <v/>
      </c>
    </row>
    <row r="70">
      <c r="A70" s="4" t="inlineStr">
        <is>
          <t>SC-House-069</t>
        </is>
      </c>
      <c r="B70" s="4" t="inlineStr">
        <is>
          <t>House District 69</t>
        </is>
      </c>
      <c r="C70" s="4" t="inlineStr">
        <is>
          <t>House</t>
        </is>
      </c>
      <c r="D70" s="4" t="n">
        <v>69</v>
      </c>
      <c r="E70" s="4" t="inlineStr">
        <is>
          <t>Chris Wooten</t>
        </is>
      </c>
      <c r="F70" s="4" t="inlineStr">
        <is>
          <t>R</t>
        </is>
      </c>
      <c r="G70" s="4" t="n">
        <v>2010</v>
      </c>
      <c r="H70" s="4" t="n">
        <v>2026</v>
      </c>
      <c r="I70" s="4" t="inlineStr">
        <is>
          <t>Horry</t>
        </is>
      </c>
      <c r="J70" s="4" t="inlineStr">
        <is>
          <t>Horry</t>
        </is>
      </c>
      <c r="K70" s="4" t="inlineStr">
        <is>
          <t>Pee Dee</t>
        </is>
      </c>
      <c r="L70" s="4" t="n">
        <v>8</v>
      </c>
      <c r="M70" s="7" t="n">
        <v>14.6</v>
      </c>
      <c r="N70" s="8" t="n">
        <v>22362</v>
      </c>
      <c r="O70" s="4" t="inlineStr">
        <is>
          <t>Long-serving</t>
        </is>
      </c>
      <c r="P70" s="4" t="inlineStr">
        <is>
          <t>Suburban</t>
        </is>
      </c>
      <c r="Q70" s="8" t="n">
        <v>40000</v>
      </c>
      <c r="R70" s="4" t="n">
        <v>3</v>
      </c>
      <c r="S70" s="4">
        <f>IF(ISNUMBER(M70), M70&lt;10, FALSE)</f>
        <v/>
      </c>
      <c r="T70" s="4">
        <f>IF(AND(F70="R", S70=TRUE), "High-D-Recruit", IF(O70="Open", "Open-Seat", IF(S70=TRUE, "Monitor", "Low")))</f>
        <v/>
      </c>
      <c r="U70" s="4">
        <f>IF(F70="R", TRUE, FALSE)</f>
        <v/>
      </c>
      <c r="V70" s="4">
        <f>IF(R70&gt;=7, "High", IF(R70&gt;=4, "Medium", "Low"))</f>
        <v/>
      </c>
    </row>
    <row r="71">
      <c r="A71" s="4" t="inlineStr">
        <is>
          <t>SC-House-070</t>
        </is>
      </c>
      <c r="B71" s="4" t="inlineStr">
        <is>
          <t>House District 70</t>
        </is>
      </c>
      <c r="C71" s="4" t="inlineStr">
        <is>
          <t>House</t>
        </is>
      </c>
      <c r="D71" s="4" t="n">
        <v>70</v>
      </c>
      <c r="E71" s="4" t="inlineStr">
        <is>
          <t>Robert T. Reese</t>
        </is>
      </c>
      <c r="F71" s="4" t="inlineStr">
        <is>
          <t>D</t>
        </is>
      </c>
      <c r="G71" s="4" t="n">
        <v>2004</v>
      </c>
      <c r="H71" s="4" t="n">
        <v>2026</v>
      </c>
      <c r="I71" s="4" t="inlineStr">
        <is>
          <t>Newberry</t>
        </is>
      </c>
      <c r="J71" s="4" t="inlineStr">
        <is>
          <t>Newberry, Fairfield</t>
        </is>
      </c>
      <c r="K71" s="4" t="inlineStr">
        <is>
          <t>Midlands</t>
        </is>
      </c>
      <c r="L71" s="4" t="n">
        <v>11</v>
      </c>
      <c r="M71" s="7" t="n">
        <v>27.6</v>
      </c>
      <c r="N71" s="8" t="n">
        <v>34282</v>
      </c>
      <c r="O71" s="4" t="inlineStr">
        <is>
          <t>Long-serving</t>
        </is>
      </c>
      <c r="P71" s="4" t="inlineStr">
        <is>
          <t>Rural</t>
        </is>
      </c>
      <c r="Q71" s="8" t="n">
        <v>40000</v>
      </c>
      <c r="R71" s="4" t="n">
        <v>1</v>
      </c>
      <c r="S71" s="4">
        <f>IF(ISNUMBER(M71), M71&lt;10, FALSE)</f>
        <v/>
      </c>
      <c r="T71" s="4">
        <f>IF(AND(F71="R", S71=TRUE), "High-D-Recruit", IF(O71="Open", "Open-Seat", IF(S71=TRUE, "Monitor", "Low")))</f>
        <v/>
      </c>
      <c r="U71" s="4">
        <f>IF(F71="R", TRUE, FALSE)</f>
        <v/>
      </c>
      <c r="V71" s="4">
        <f>IF(R71&gt;=7, "High", IF(R71&gt;=4, "Medium", "Low"))</f>
        <v/>
      </c>
    </row>
    <row r="72">
      <c r="A72" s="4" t="inlineStr">
        <is>
          <t>SC-House-071</t>
        </is>
      </c>
      <c r="B72" s="4" t="inlineStr">
        <is>
          <t>House District 71</t>
        </is>
      </c>
      <c r="C72" s="4" t="inlineStr">
        <is>
          <t>House</t>
        </is>
      </c>
      <c r="D72" s="4" t="n">
        <v>71</v>
      </c>
      <c r="E72" s="4" t="inlineStr">
        <is>
          <t>Nathan Ballentine</t>
        </is>
      </c>
      <c r="F72" s="4" t="inlineStr">
        <is>
          <t>R</t>
        </is>
      </c>
      <c r="G72" s="4" t="n">
        <v>2010</v>
      </c>
      <c r="H72" s="4" t="n">
        <v>2026</v>
      </c>
      <c r="I72" s="4" t="inlineStr">
        <is>
          <t>Richland</t>
        </is>
      </c>
      <c r="J72" s="4" t="inlineStr">
        <is>
          <t>Richland</t>
        </is>
      </c>
      <c r="K72" s="4" t="inlineStr">
        <is>
          <t>Midlands</t>
        </is>
      </c>
      <c r="L72" s="4" t="n">
        <v>8</v>
      </c>
      <c r="M72" s="7" t="n">
        <v>16.7</v>
      </c>
      <c r="N72" s="8" t="n">
        <v>17326</v>
      </c>
      <c r="O72" s="4" t="inlineStr">
        <is>
          <t>Long-serving</t>
        </is>
      </c>
      <c r="P72" s="4" t="inlineStr">
        <is>
          <t>Suburban</t>
        </is>
      </c>
      <c r="Q72" s="8" t="n">
        <v>40000</v>
      </c>
      <c r="R72" s="4" t="n">
        <v>3</v>
      </c>
      <c r="S72" s="4">
        <f>IF(ISNUMBER(M72), M72&lt;10, FALSE)</f>
        <v/>
      </c>
      <c r="T72" s="4">
        <f>IF(AND(F72="R", S72=TRUE), "High-D-Recruit", IF(O72="Open", "Open-Seat", IF(S72=TRUE, "Monitor", "Low")))</f>
        <v/>
      </c>
      <c r="U72" s="4">
        <f>IF(F72="R", TRUE, FALSE)</f>
        <v/>
      </c>
      <c r="V72" s="4">
        <f>IF(R72&gt;=7, "High", IF(R72&gt;=4, "Medium", "Low"))</f>
        <v/>
      </c>
    </row>
    <row r="73">
      <c r="A73" s="4" t="inlineStr">
        <is>
          <t>SC-House-072</t>
        </is>
      </c>
      <c r="B73" s="4" t="inlineStr">
        <is>
          <t>House District 72</t>
        </is>
      </c>
      <c r="C73" s="4" t="inlineStr">
        <is>
          <t>House</t>
        </is>
      </c>
      <c r="D73" s="4" t="n">
        <v>72</v>
      </c>
      <c r="E73" s="4" t="inlineStr">
        <is>
          <t>Seth Rose</t>
        </is>
      </c>
      <c r="F73" s="4" t="inlineStr">
        <is>
          <t>D</t>
        </is>
      </c>
      <c r="G73" s="4" t="n">
        <v>2008</v>
      </c>
      <c r="H73" s="4" t="n">
        <v>2026</v>
      </c>
      <c r="I73" s="4" t="inlineStr">
        <is>
          <t>Richland</t>
        </is>
      </c>
      <c r="J73" s="4" t="inlineStr">
        <is>
          <t>Richland</t>
        </is>
      </c>
      <c r="K73" s="4" t="inlineStr">
        <is>
          <t>Midlands</t>
        </is>
      </c>
      <c r="L73" s="4" t="n">
        <v>9</v>
      </c>
      <c r="M73" s="4" t="inlineStr">
        <is>
          <t>Unopposed</t>
        </is>
      </c>
      <c r="N73" s="8" t="n">
        <v>10964</v>
      </c>
      <c r="O73" s="4" t="inlineStr">
        <is>
          <t>Long-serving</t>
        </is>
      </c>
      <c r="P73" s="4" t="inlineStr">
        <is>
          <t>Urban</t>
        </is>
      </c>
      <c r="Q73" s="8" t="n">
        <v>40000</v>
      </c>
      <c r="R73" s="4" t="n">
        <v>0</v>
      </c>
      <c r="S73" s="4">
        <f>IF(ISNUMBER(M73), M73&lt;10, FALSE)</f>
        <v/>
      </c>
      <c r="T73" s="4">
        <f>IF(AND(F73="R", S73=TRUE), "High-D-Recruit", IF(O73="Open", "Open-Seat", IF(S73=TRUE, "Monitor", "Low")))</f>
        <v/>
      </c>
      <c r="U73" s="4">
        <f>IF(F73="R", TRUE, FALSE)</f>
        <v/>
      </c>
      <c r="V73" s="4">
        <f>IF(R73&gt;=7, "High", IF(R73&gt;=4, "Medium", "Low"))</f>
        <v/>
      </c>
    </row>
    <row r="74">
      <c r="A74" s="4" t="inlineStr">
        <is>
          <t>SC-House-073</t>
        </is>
      </c>
      <c r="B74" s="4" t="inlineStr">
        <is>
          <t>House District 73</t>
        </is>
      </c>
      <c r="C74" s="4" t="inlineStr">
        <is>
          <t>House</t>
        </is>
      </c>
      <c r="D74" s="4" t="n">
        <v>73</v>
      </c>
      <c r="E74" s="4" t="inlineStr">
        <is>
          <t>Christopher R. "Chris" Hart</t>
        </is>
      </c>
      <c r="F74" s="4" t="inlineStr">
        <is>
          <t>D</t>
        </is>
      </c>
      <c r="G74" s="4" t="n">
        <v>2020</v>
      </c>
      <c r="H74" s="4" t="n">
        <v>2026</v>
      </c>
      <c r="I74" s="4" t="inlineStr">
        <is>
          <t>Richland</t>
        </is>
      </c>
      <c r="J74" s="4" t="inlineStr">
        <is>
          <t>Richland</t>
        </is>
      </c>
      <c r="K74" s="4" t="inlineStr">
        <is>
          <t>Midlands</t>
        </is>
      </c>
      <c r="L74" s="4" t="n">
        <v>3</v>
      </c>
      <c r="M74" s="7" t="n">
        <v>31.4</v>
      </c>
      <c r="N74" s="8" t="n">
        <v>17321</v>
      </c>
      <c r="O74" s="4" t="inlineStr">
        <is>
          <t>Veteran</t>
        </is>
      </c>
      <c r="P74" s="4" t="inlineStr">
        <is>
          <t>Urban</t>
        </is>
      </c>
      <c r="Q74" s="8" t="n">
        <v>40000</v>
      </c>
      <c r="R74" s="4" t="n">
        <v>2</v>
      </c>
      <c r="S74" s="4">
        <f>IF(ISNUMBER(M74), M74&lt;10, FALSE)</f>
        <v/>
      </c>
      <c r="T74" s="4">
        <f>IF(AND(F74="R", S74=TRUE), "High-D-Recruit", IF(O74="Open", "Open-Seat", IF(S74=TRUE, "Monitor", "Low")))</f>
        <v/>
      </c>
      <c r="U74" s="4">
        <f>IF(F74="R", TRUE, FALSE)</f>
        <v/>
      </c>
      <c r="V74" s="4">
        <f>IF(R74&gt;=7, "High", IF(R74&gt;=4, "Medium", "Low"))</f>
        <v/>
      </c>
    </row>
    <row r="75">
      <c r="A75" s="4" t="inlineStr">
        <is>
          <t>SC-House-074</t>
        </is>
      </c>
      <c r="B75" s="4" t="inlineStr">
        <is>
          <t>House District 74</t>
        </is>
      </c>
      <c r="C75" s="4" t="inlineStr">
        <is>
          <t>House</t>
        </is>
      </c>
      <c r="D75" s="4" t="n">
        <v>74</v>
      </c>
      <c r="E75" s="4" t="inlineStr">
        <is>
          <t>J. Todd Rutherford</t>
        </is>
      </c>
      <c r="F75" s="4" t="inlineStr">
        <is>
          <t>D</t>
        </is>
      </c>
      <c r="G75" s="4" t="n">
        <v>2006</v>
      </c>
      <c r="H75" s="4" t="n">
        <v>2026</v>
      </c>
      <c r="I75" s="4" t="inlineStr">
        <is>
          <t>Richland</t>
        </is>
      </c>
      <c r="J75" s="4" t="inlineStr">
        <is>
          <t>Richland</t>
        </is>
      </c>
      <c r="K75" s="4" t="inlineStr">
        <is>
          <t>Midlands</t>
        </is>
      </c>
      <c r="L75" s="4" t="n">
        <v>10</v>
      </c>
      <c r="M75" s="7" t="n">
        <v>3.9</v>
      </c>
      <c r="N75" s="8" t="n">
        <v>24125</v>
      </c>
      <c r="O75" s="4" t="inlineStr">
        <is>
          <t>Long-serving</t>
        </is>
      </c>
      <c r="P75" s="4" t="inlineStr">
        <is>
          <t>Urban</t>
        </is>
      </c>
      <c r="Q75" s="8" t="n">
        <v>40000</v>
      </c>
      <c r="R75" s="4" t="n">
        <v>3</v>
      </c>
      <c r="S75" s="4">
        <f>IF(ISNUMBER(M75), M75&lt;10, FALSE)</f>
        <v/>
      </c>
      <c r="T75" s="4">
        <f>IF(AND(F75="R", S75=TRUE), "High-D-Recruit", IF(O75="Open", "Open-Seat", IF(S75=TRUE, "Monitor", "Low")))</f>
        <v/>
      </c>
      <c r="U75" s="4">
        <f>IF(F75="R", TRUE, FALSE)</f>
        <v/>
      </c>
      <c r="V75" s="4">
        <f>IF(R75&gt;=7, "High", IF(R75&gt;=4, "Medium", "Low"))</f>
        <v/>
      </c>
    </row>
    <row r="76">
      <c r="A76" s="4" t="inlineStr">
        <is>
          <t>SC-House-075</t>
        </is>
      </c>
      <c r="B76" s="4" t="inlineStr">
        <is>
          <t>House District 75</t>
        </is>
      </c>
      <c r="C76" s="4" t="inlineStr">
        <is>
          <t>House</t>
        </is>
      </c>
      <c r="D76" s="4" t="n">
        <v>75</v>
      </c>
      <c r="E76" s="4" t="inlineStr">
        <is>
          <t>Heather Bauer</t>
        </is>
      </c>
      <c r="F76" s="4" t="inlineStr">
        <is>
          <t>D</t>
        </is>
      </c>
      <c r="G76" s="4" t="n">
        <v>2014</v>
      </c>
      <c r="H76" s="4" t="n">
        <v>2026</v>
      </c>
      <c r="I76" s="4" t="inlineStr">
        <is>
          <t>Richland</t>
        </is>
      </c>
      <c r="J76" s="4" t="inlineStr">
        <is>
          <t>Richland, Lexington</t>
        </is>
      </c>
      <c r="K76" s="4" t="inlineStr">
        <is>
          <t>Midlands</t>
        </is>
      </c>
      <c r="L76" s="4" t="n">
        <v>6</v>
      </c>
      <c r="M76" s="7" t="n">
        <v>16.2</v>
      </c>
      <c r="N76" s="8" t="n">
        <v>33711</v>
      </c>
      <c r="O76" s="4" t="inlineStr">
        <is>
          <t>Long-serving</t>
        </is>
      </c>
      <c r="P76" s="4" t="inlineStr">
        <is>
          <t>Suburban</t>
        </is>
      </c>
      <c r="Q76" s="8" t="n">
        <v>40000</v>
      </c>
      <c r="R76" s="4" t="n">
        <v>1</v>
      </c>
      <c r="S76" s="4">
        <f>IF(ISNUMBER(M76), M76&lt;10, FALSE)</f>
        <v/>
      </c>
      <c r="T76" s="4">
        <f>IF(AND(F76="R", S76=TRUE), "High-D-Recruit", IF(O76="Open", "Open-Seat", IF(S76=TRUE, "Monitor", "Low")))</f>
        <v/>
      </c>
      <c r="U76" s="4">
        <f>IF(F76="R", TRUE, FALSE)</f>
        <v/>
      </c>
      <c r="V76" s="4">
        <f>IF(R76&gt;=7, "High", IF(R76&gt;=4, "Medium", "Low"))</f>
        <v/>
      </c>
    </row>
    <row r="77">
      <c r="A77" s="4" t="inlineStr">
        <is>
          <t>SC-House-076</t>
        </is>
      </c>
      <c r="B77" s="4" t="inlineStr">
        <is>
          <t>House District 76</t>
        </is>
      </c>
      <c r="C77" s="4" t="inlineStr">
        <is>
          <t>House</t>
        </is>
      </c>
      <c r="D77" s="4" t="n">
        <v>76</v>
      </c>
      <c r="E77" s="4" t="inlineStr">
        <is>
          <t>Leon Howard</t>
        </is>
      </c>
      <c r="F77" s="4" t="inlineStr">
        <is>
          <t>D</t>
        </is>
      </c>
      <c r="G77" s="4" t="n">
        <v>1996</v>
      </c>
      <c r="H77" s="4" t="n">
        <v>2026</v>
      </c>
      <c r="I77" s="4" t="inlineStr">
        <is>
          <t>Richland</t>
        </is>
      </c>
      <c r="J77" s="4" t="inlineStr">
        <is>
          <t>Richland</t>
        </is>
      </c>
      <c r="K77" s="4" t="inlineStr">
        <is>
          <t>Midlands</t>
        </is>
      </c>
      <c r="L77" s="4" t="n">
        <v>15</v>
      </c>
      <c r="M77" s="7" t="n">
        <v>20.2</v>
      </c>
      <c r="N77" s="8" t="n">
        <v>22962</v>
      </c>
      <c r="O77" s="4" t="inlineStr">
        <is>
          <t>Long-serving</t>
        </is>
      </c>
      <c r="P77" s="4" t="inlineStr">
        <is>
          <t>Urban</t>
        </is>
      </c>
      <c r="Q77" s="8" t="n">
        <v>40000</v>
      </c>
      <c r="R77" s="4" t="n">
        <v>1</v>
      </c>
      <c r="S77" s="4">
        <f>IF(ISNUMBER(M77), M77&lt;10, FALSE)</f>
        <v/>
      </c>
      <c r="T77" s="4">
        <f>IF(AND(F77="R", S77=TRUE), "High-D-Recruit", IF(O77="Open", "Open-Seat", IF(S77=TRUE, "Monitor", "Low")))</f>
        <v/>
      </c>
      <c r="U77" s="4">
        <f>IF(F77="R", TRUE, FALSE)</f>
        <v/>
      </c>
      <c r="V77" s="4">
        <f>IF(R77&gt;=7, "High", IF(R77&gt;=4, "Medium", "Low"))</f>
        <v/>
      </c>
    </row>
    <row r="78">
      <c r="A78" s="4" t="inlineStr">
        <is>
          <t>SC-House-077</t>
        </is>
      </c>
      <c r="B78" s="4" t="inlineStr">
        <is>
          <t>House District 77</t>
        </is>
      </c>
      <c r="C78" s="4" t="inlineStr">
        <is>
          <t>House</t>
        </is>
      </c>
      <c r="D78" s="4" t="n">
        <v>77</v>
      </c>
      <c r="E78" s="4" t="inlineStr">
        <is>
          <t>Kambrell H. Garvin</t>
        </is>
      </c>
      <c r="F78" s="4" t="inlineStr">
        <is>
          <t>D</t>
        </is>
      </c>
      <c r="G78" s="4" t="n">
        <v>2024</v>
      </c>
      <c r="H78" s="4" t="n">
        <v>2026</v>
      </c>
      <c r="I78" s="4" t="inlineStr">
        <is>
          <t>Richland</t>
        </is>
      </c>
      <c r="J78" s="4" t="inlineStr">
        <is>
          <t>Richland</t>
        </is>
      </c>
      <c r="K78" s="4" t="inlineStr">
        <is>
          <t>Midlands</t>
        </is>
      </c>
      <c r="L78" s="4" t="n">
        <v>1</v>
      </c>
      <c r="M78" s="4" t="inlineStr">
        <is>
          <t>Unopposed</t>
        </is>
      </c>
      <c r="N78" s="8" t="n">
        <v>23230</v>
      </c>
      <c r="O78" s="4" t="inlineStr">
        <is>
          <t>First-term</t>
        </is>
      </c>
      <c r="P78" s="4" t="inlineStr">
        <is>
          <t>Urban</t>
        </is>
      </c>
      <c r="Q78" s="8" t="n">
        <v>40000</v>
      </c>
      <c r="R78" s="4" t="n">
        <v>2</v>
      </c>
      <c r="S78" s="4">
        <f>IF(ISNUMBER(M78), M78&lt;10, FALSE)</f>
        <v/>
      </c>
      <c r="T78" s="4">
        <f>IF(AND(F78="R", S78=TRUE), "High-D-Recruit", IF(O78="Open", "Open-Seat", IF(S78=TRUE, "Monitor", "Low")))</f>
        <v/>
      </c>
      <c r="U78" s="4">
        <f>IF(F78="R", TRUE, FALSE)</f>
        <v/>
      </c>
      <c r="V78" s="4">
        <f>IF(R78&gt;=7, "High", IF(R78&gt;=4, "Medium", "Low"))</f>
        <v/>
      </c>
    </row>
    <row r="79">
      <c r="A79" s="4" t="inlineStr">
        <is>
          <t>SC-House-078</t>
        </is>
      </c>
      <c r="B79" s="4" t="inlineStr">
        <is>
          <t>House District 78</t>
        </is>
      </c>
      <c r="C79" s="4" t="inlineStr">
        <is>
          <t>House</t>
        </is>
      </c>
      <c r="D79" s="4" t="n">
        <v>78</v>
      </c>
      <c r="E79" s="4" t="inlineStr">
        <is>
          <t>Beth E. Bernstein</t>
        </is>
      </c>
      <c r="F79" s="4" t="inlineStr">
        <is>
          <t>D</t>
        </is>
      </c>
      <c r="G79" s="4" t="n">
        <v>2016</v>
      </c>
      <c r="H79" s="4" t="n">
        <v>2026</v>
      </c>
      <c r="I79" s="4" t="inlineStr">
        <is>
          <t>Richland</t>
        </is>
      </c>
      <c r="J79" s="4" t="inlineStr">
        <is>
          <t>Richland</t>
        </is>
      </c>
      <c r="K79" s="4" t="inlineStr">
        <is>
          <t>Midlands</t>
        </is>
      </c>
      <c r="L79" s="4" t="n">
        <v>5</v>
      </c>
      <c r="M79" s="7" t="n">
        <v>27.2</v>
      </c>
      <c r="N79" s="8" t="n">
        <v>26609</v>
      </c>
      <c r="O79" s="4" t="inlineStr">
        <is>
          <t>Long-serving</t>
        </is>
      </c>
      <c r="P79" s="4" t="inlineStr">
        <is>
          <t>Urban</t>
        </is>
      </c>
      <c r="Q79" s="8" t="n">
        <v>40000</v>
      </c>
      <c r="R79" s="4" t="n">
        <v>1</v>
      </c>
      <c r="S79" s="4">
        <f>IF(ISNUMBER(M79), M79&lt;10, FALSE)</f>
        <v/>
      </c>
      <c r="T79" s="4">
        <f>IF(AND(F79="R", S79=TRUE), "High-D-Recruit", IF(O79="Open", "Open-Seat", IF(S79=TRUE, "Monitor", "Low")))</f>
        <v/>
      </c>
      <c r="U79" s="4">
        <f>IF(F79="R", TRUE, FALSE)</f>
        <v/>
      </c>
      <c r="V79" s="4">
        <f>IF(R79&gt;=7, "High", IF(R79&gt;=4, "Medium", "Low"))</f>
        <v/>
      </c>
    </row>
    <row r="80">
      <c r="A80" s="4" t="inlineStr">
        <is>
          <t>SC-House-079</t>
        </is>
      </c>
      <c r="B80" s="4" t="inlineStr">
        <is>
          <t>House District 79</t>
        </is>
      </c>
      <c r="C80" s="4" t="inlineStr">
        <is>
          <t>House</t>
        </is>
      </c>
      <c r="D80" s="4" t="n">
        <v>79</v>
      </c>
      <c r="E80" s="4" t="inlineStr">
        <is>
          <t>Hamilton R. Grant</t>
        </is>
      </c>
      <c r="F80" s="4" t="inlineStr">
        <is>
          <t>D</t>
        </is>
      </c>
      <c r="G80" s="4" t="n">
        <v>2018</v>
      </c>
      <c r="H80" s="4" t="n">
        <v>2026</v>
      </c>
      <c r="I80" s="4" t="inlineStr">
        <is>
          <t>Richland</t>
        </is>
      </c>
      <c r="J80" s="4" t="inlineStr">
        <is>
          <t>Richland</t>
        </is>
      </c>
      <c r="K80" s="4" t="inlineStr">
        <is>
          <t>Midlands</t>
        </is>
      </c>
      <c r="L80" s="4" t="n">
        <v>4</v>
      </c>
      <c r="M80" s="7" t="n">
        <v>23.2</v>
      </c>
      <c r="N80" s="8" t="n">
        <v>30303</v>
      </c>
      <c r="O80" s="4" t="inlineStr">
        <is>
          <t>Veteran</t>
        </is>
      </c>
      <c r="P80" s="4" t="inlineStr">
        <is>
          <t>Urban</t>
        </is>
      </c>
      <c r="Q80" s="8" t="n">
        <v>40000</v>
      </c>
      <c r="R80" s="4" t="n">
        <v>2</v>
      </c>
      <c r="S80" s="4">
        <f>IF(ISNUMBER(M80), M80&lt;10, FALSE)</f>
        <v/>
      </c>
      <c r="T80" s="4">
        <f>IF(AND(F80="R", S80=TRUE), "High-D-Recruit", IF(O80="Open", "Open-Seat", IF(S80=TRUE, "Monitor", "Low")))</f>
        <v/>
      </c>
      <c r="U80" s="4">
        <f>IF(F80="R", TRUE, FALSE)</f>
        <v/>
      </c>
      <c r="V80" s="4">
        <f>IF(R80&gt;=7, "High", IF(R80&gt;=4, "Medium", "Low"))</f>
        <v/>
      </c>
    </row>
    <row r="81">
      <c r="A81" s="4" t="inlineStr">
        <is>
          <t>SC-House-080</t>
        </is>
      </c>
      <c r="B81" s="4" t="inlineStr">
        <is>
          <t>House District 80</t>
        </is>
      </c>
      <c r="C81" s="4" t="inlineStr">
        <is>
          <t>House</t>
        </is>
      </c>
      <c r="D81" s="4" t="n">
        <v>80</v>
      </c>
      <c r="E81" s="4" t="inlineStr">
        <is>
          <t>Kathy Landing</t>
        </is>
      </c>
      <c r="F81" s="4" t="inlineStr">
        <is>
          <t>R</t>
        </is>
      </c>
      <c r="G81" s="4" t="n">
        <v>2006</v>
      </c>
      <c r="H81" s="4" t="n">
        <v>2026</v>
      </c>
      <c r="I81" s="4" t="inlineStr">
        <is>
          <t>Lexington</t>
        </is>
      </c>
      <c r="J81" s="4" t="inlineStr">
        <is>
          <t>Lexington, Richland</t>
        </is>
      </c>
      <c r="K81" s="4" t="inlineStr">
        <is>
          <t>Midlands</t>
        </is>
      </c>
      <c r="L81" s="4" t="n">
        <v>10</v>
      </c>
      <c r="M81" s="4" t="inlineStr">
        <is>
          <t>Unopposed</t>
        </is>
      </c>
      <c r="N81" s="8" t="n">
        <v>10887</v>
      </c>
      <c r="O81" s="4" t="inlineStr">
        <is>
          <t>Long-serving</t>
        </is>
      </c>
      <c r="P81" s="4" t="inlineStr">
        <is>
          <t>Suburban</t>
        </is>
      </c>
      <c r="Q81" s="8" t="n">
        <v>40000</v>
      </c>
      <c r="R81" s="4" t="n">
        <v>2</v>
      </c>
      <c r="S81" s="4">
        <f>IF(ISNUMBER(M81), M81&lt;10, FALSE)</f>
        <v/>
      </c>
      <c r="T81" s="4">
        <f>IF(AND(F81="R", S81=TRUE), "High-D-Recruit", IF(O81="Open", "Open-Seat", IF(S81=TRUE, "Monitor", "Low")))</f>
        <v/>
      </c>
      <c r="U81" s="4">
        <f>IF(F81="R", TRUE, FALSE)</f>
        <v/>
      </c>
      <c r="V81" s="4">
        <f>IF(R81&gt;=7, "High", IF(R81&gt;=4, "Medium", "Low"))</f>
        <v/>
      </c>
    </row>
    <row r="82">
      <c r="A82" s="4" t="inlineStr">
        <is>
          <t>SC-House-081</t>
        </is>
      </c>
      <c r="B82" s="4" t="inlineStr">
        <is>
          <t>House District 81</t>
        </is>
      </c>
      <c r="C82" s="4" t="inlineStr">
        <is>
          <t>House</t>
        </is>
      </c>
      <c r="D82" s="4" t="n">
        <v>81</v>
      </c>
      <c r="E82" s="4" t="inlineStr">
        <is>
          <t>Charles V. Hartz</t>
        </is>
      </c>
      <c r="F82" s="4" t="inlineStr">
        <is>
          <t>R</t>
        </is>
      </c>
      <c r="G82" s="4" t="n">
        <v>2002</v>
      </c>
      <c r="H82" s="4" t="n">
        <v>2026</v>
      </c>
      <c r="I82" s="4" t="inlineStr">
        <is>
          <t>Lexington</t>
        </is>
      </c>
      <c r="J82" s="4" t="inlineStr">
        <is>
          <t>Lexington</t>
        </is>
      </c>
      <c r="K82" s="4" t="inlineStr">
        <is>
          <t>Midlands</t>
        </is>
      </c>
      <c r="L82" s="4" t="n">
        <v>12</v>
      </c>
      <c r="M82" s="7" t="n">
        <v>19.5</v>
      </c>
      <c r="N82" s="8" t="n">
        <v>28193</v>
      </c>
      <c r="O82" s="4" t="inlineStr">
        <is>
          <t>Long-serving</t>
        </is>
      </c>
      <c r="P82" s="4" t="inlineStr">
        <is>
          <t>Suburban</t>
        </is>
      </c>
      <c r="Q82" s="8" t="n">
        <v>40000</v>
      </c>
      <c r="R82" s="4" t="n">
        <v>3</v>
      </c>
      <c r="S82" s="4">
        <f>IF(ISNUMBER(M82), M82&lt;10, FALSE)</f>
        <v/>
      </c>
      <c r="T82" s="4">
        <f>IF(AND(F82="R", S82=TRUE), "High-D-Recruit", IF(O82="Open", "Open-Seat", IF(S82=TRUE, "Monitor", "Low")))</f>
        <v/>
      </c>
      <c r="U82" s="4">
        <f>IF(F82="R", TRUE, FALSE)</f>
        <v/>
      </c>
      <c r="V82" s="4">
        <f>IF(R82&gt;=7, "High", IF(R82&gt;=4, "Medium", "Low"))</f>
        <v/>
      </c>
    </row>
    <row r="83">
      <c r="A83" s="4" t="inlineStr">
        <is>
          <t>SC-House-082</t>
        </is>
      </c>
      <c r="B83" s="4" t="inlineStr">
        <is>
          <t>House District 82</t>
        </is>
      </c>
      <c r="C83" s="4" t="inlineStr">
        <is>
          <t>House</t>
        </is>
      </c>
      <c r="D83" s="4" t="n">
        <v>82</v>
      </c>
      <c r="E83" s="4" t="inlineStr">
        <is>
          <t>William "Bill" Clyburn</t>
        </is>
      </c>
      <c r="F83" s="4" t="inlineStr">
        <is>
          <t>D</t>
        </is>
      </c>
      <c r="G83" s="4" t="n">
        <v>2024</v>
      </c>
      <c r="H83" s="4" t="n">
        <v>2026</v>
      </c>
      <c r="I83" s="4" t="inlineStr">
        <is>
          <t>Richland</t>
        </is>
      </c>
      <c r="J83" s="4" t="inlineStr">
        <is>
          <t>Richland</t>
        </is>
      </c>
      <c r="K83" s="4" t="inlineStr">
        <is>
          <t>Midlands</t>
        </is>
      </c>
      <c r="L83" s="4" t="n">
        <v>1</v>
      </c>
      <c r="M83" s="4" t="inlineStr">
        <is>
          <t>Unopposed</t>
        </is>
      </c>
      <c r="N83" s="8" t="n">
        <v>23116</v>
      </c>
      <c r="O83" s="4" t="inlineStr">
        <is>
          <t>First-term</t>
        </is>
      </c>
      <c r="P83" s="4" t="inlineStr">
        <is>
          <t>Urban</t>
        </is>
      </c>
      <c r="Q83" s="8" t="n">
        <v>40000</v>
      </c>
      <c r="R83" s="4" t="n">
        <v>2</v>
      </c>
      <c r="S83" s="4">
        <f>IF(ISNUMBER(M83), M83&lt;10, FALSE)</f>
        <v/>
      </c>
      <c r="T83" s="4">
        <f>IF(AND(F83="R", S83=TRUE), "High-D-Recruit", IF(O83="Open", "Open-Seat", IF(S83=TRUE, "Monitor", "Low")))</f>
        <v/>
      </c>
      <c r="U83" s="4">
        <f>IF(F83="R", TRUE, FALSE)</f>
        <v/>
      </c>
      <c r="V83" s="4">
        <f>IF(R83&gt;=7, "High", IF(R83&gt;=4, "Medium", "Low"))</f>
        <v/>
      </c>
    </row>
    <row r="84">
      <c r="A84" s="4" t="inlineStr">
        <is>
          <t>SC-House-083</t>
        </is>
      </c>
      <c r="B84" s="4" t="inlineStr">
        <is>
          <t>House District 83</t>
        </is>
      </c>
      <c r="C84" s="4" t="inlineStr">
        <is>
          <t>House</t>
        </is>
      </c>
      <c r="D84" s="4" t="n">
        <v>83</v>
      </c>
      <c r="E84" s="4" t="inlineStr">
        <is>
          <t>William M. "Bill" Hixon</t>
        </is>
      </c>
      <c r="F84" s="4" t="inlineStr">
        <is>
          <t>R</t>
        </is>
      </c>
      <c r="G84" s="4" t="n">
        <v>2018</v>
      </c>
      <c r="H84" s="4" t="n">
        <v>2026</v>
      </c>
      <c r="I84" s="4" t="inlineStr">
        <is>
          <t>Aiken</t>
        </is>
      </c>
      <c r="J84" s="4" t="inlineStr">
        <is>
          <t>Aiken</t>
        </is>
      </c>
      <c r="K84" s="4" t="inlineStr">
        <is>
          <t>Midlands</t>
        </is>
      </c>
      <c r="L84" s="4" t="n">
        <v>4</v>
      </c>
      <c r="M84" s="4" t="inlineStr">
        <is>
          <t>Unopposed</t>
        </is>
      </c>
      <c r="N84" s="8" t="n">
        <v>14073</v>
      </c>
      <c r="O84" s="4" t="inlineStr">
        <is>
          <t>Veteran</t>
        </is>
      </c>
      <c r="P84" s="4" t="inlineStr">
        <is>
          <t>Mixed</t>
        </is>
      </c>
      <c r="Q84" s="8" t="n">
        <v>40000</v>
      </c>
      <c r="R84" s="4" t="n">
        <v>3</v>
      </c>
      <c r="S84" s="4">
        <f>IF(ISNUMBER(M84), M84&lt;10, FALSE)</f>
        <v/>
      </c>
      <c r="T84" s="4">
        <f>IF(AND(F84="R", S84=TRUE), "High-D-Recruit", IF(O84="Open", "Open-Seat", IF(S84=TRUE, "Monitor", "Low")))</f>
        <v/>
      </c>
      <c r="U84" s="4">
        <f>IF(F84="R", TRUE, FALSE)</f>
        <v/>
      </c>
      <c r="V84" s="4">
        <f>IF(R84&gt;=7, "High", IF(R84&gt;=4, "Medium", "Low"))</f>
        <v/>
      </c>
    </row>
    <row r="85">
      <c r="A85" s="4" t="inlineStr">
        <is>
          <t>SC-House-084</t>
        </is>
      </c>
      <c r="B85" s="4" t="inlineStr">
        <is>
          <t>House District 84</t>
        </is>
      </c>
      <c r="C85" s="4" t="inlineStr">
        <is>
          <t>House</t>
        </is>
      </c>
      <c r="D85" s="4" t="n">
        <v>84</v>
      </c>
      <c r="E85" s="4" t="inlineStr">
        <is>
          <t>Melissa Lackey Oremus</t>
        </is>
      </c>
      <c r="F85" s="4" t="inlineStr">
        <is>
          <t>R</t>
        </is>
      </c>
      <c r="G85" s="4" t="n">
        <v>2000</v>
      </c>
      <c r="H85" s="4" t="n">
        <v>2026</v>
      </c>
      <c r="I85" s="4" t="inlineStr">
        <is>
          <t>Lexington</t>
        </is>
      </c>
      <c r="J85" s="4" t="inlineStr">
        <is>
          <t>Lexington</t>
        </is>
      </c>
      <c r="K85" s="4" t="inlineStr">
        <is>
          <t>Midlands</t>
        </is>
      </c>
      <c r="L85" s="4" t="n">
        <v>13</v>
      </c>
      <c r="M85" s="7" t="n">
        <v>14.5</v>
      </c>
      <c r="N85" s="8" t="n">
        <v>32573</v>
      </c>
      <c r="O85" s="4" t="inlineStr">
        <is>
          <t>Long-serving</t>
        </is>
      </c>
      <c r="P85" s="4" t="inlineStr">
        <is>
          <t>Suburban</t>
        </is>
      </c>
      <c r="Q85" s="8" t="n">
        <v>40000</v>
      </c>
      <c r="R85" s="4" t="n">
        <v>3</v>
      </c>
      <c r="S85" s="4">
        <f>IF(ISNUMBER(M85), M85&lt;10, FALSE)</f>
        <v/>
      </c>
      <c r="T85" s="4">
        <f>IF(AND(F85="R", S85=TRUE), "High-D-Recruit", IF(O85="Open", "Open-Seat", IF(S85=TRUE, "Monitor", "Low")))</f>
        <v/>
      </c>
      <c r="U85" s="4">
        <f>IF(F85="R", TRUE, FALSE)</f>
        <v/>
      </c>
      <c r="V85" s="4">
        <f>IF(R85&gt;=7, "High", IF(R85&gt;=4, "Medium", "Low"))</f>
        <v/>
      </c>
    </row>
    <row r="86">
      <c r="A86" s="4" t="inlineStr">
        <is>
          <t>SC-House-085</t>
        </is>
      </c>
      <c r="B86" s="4" t="inlineStr">
        <is>
          <t>House District 85</t>
        </is>
      </c>
      <c r="C86" s="4" t="inlineStr">
        <is>
          <t>House</t>
        </is>
      </c>
      <c r="D86" s="4" t="n">
        <v>85</v>
      </c>
      <c r="E86" s="4" t="inlineStr">
        <is>
          <t>John Gregory "Jay" Kilmartin</t>
        </is>
      </c>
      <c r="F86" s="4" t="inlineStr">
        <is>
          <t>R</t>
        </is>
      </c>
      <c r="G86" s="4" t="n">
        <v>1998</v>
      </c>
      <c r="H86" s="4" t="n">
        <v>2026</v>
      </c>
      <c r="I86" s="4" t="inlineStr">
        <is>
          <t>Lexington</t>
        </is>
      </c>
      <c r="J86" s="4" t="inlineStr">
        <is>
          <t>Lexington</t>
        </is>
      </c>
      <c r="K86" s="4" t="inlineStr">
        <is>
          <t>Midlands</t>
        </is>
      </c>
      <c r="L86" s="4" t="n">
        <v>14</v>
      </c>
      <c r="M86" s="7" t="n">
        <v>7.9</v>
      </c>
      <c r="N86" s="8" t="n">
        <v>23185</v>
      </c>
      <c r="O86" s="4" t="inlineStr">
        <is>
          <t>Long-serving</t>
        </is>
      </c>
      <c r="P86" s="4" t="inlineStr">
        <is>
          <t>Suburban</t>
        </is>
      </c>
      <c r="Q86" s="8" t="n">
        <v>40000</v>
      </c>
      <c r="R86" s="4" t="n">
        <v>4</v>
      </c>
      <c r="S86" s="4">
        <f>IF(ISNUMBER(M86), M86&lt;10, FALSE)</f>
        <v/>
      </c>
      <c r="T86" s="4">
        <f>IF(AND(F86="R", S86=TRUE), "High-D-Recruit", IF(O86="Open", "Open-Seat", IF(S86=TRUE, "Monitor", "Low")))</f>
        <v/>
      </c>
      <c r="U86" s="4">
        <f>IF(F86="R", TRUE, FALSE)</f>
        <v/>
      </c>
      <c r="V86" s="4">
        <f>IF(R86&gt;=7, "High", IF(R86&gt;=4, "Medium", "Low"))</f>
        <v/>
      </c>
    </row>
    <row r="87">
      <c r="A87" s="4" t="inlineStr">
        <is>
          <t>SC-House-086</t>
        </is>
      </c>
      <c r="B87" s="4" t="inlineStr">
        <is>
          <t>House District 86</t>
        </is>
      </c>
      <c r="C87" s="4" t="inlineStr">
        <is>
          <t>House</t>
        </is>
      </c>
      <c r="D87" s="4" t="n">
        <v>86</v>
      </c>
      <c r="E87" s="4" t="inlineStr">
        <is>
          <t>Bill Taylor</t>
        </is>
      </c>
      <c r="F87" s="4" t="inlineStr">
        <is>
          <t>R</t>
        </is>
      </c>
      <c r="G87" s="4" t="n">
        <v>2006</v>
      </c>
      <c r="H87" s="4" t="n">
        <v>2026</v>
      </c>
      <c r="I87" s="4" t="inlineStr">
        <is>
          <t>Aiken</t>
        </is>
      </c>
      <c r="J87" s="4" t="inlineStr">
        <is>
          <t>Aiken</t>
        </is>
      </c>
      <c r="K87" s="4" t="inlineStr">
        <is>
          <t>Midlands</t>
        </is>
      </c>
      <c r="L87" s="4" t="n">
        <v>10</v>
      </c>
      <c r="M87" s="4" t="inlineStr">
        <is>
          <t>Unopposed</t>
        </is>
      </c>
      <c r="N87" s="8" t="n">
        <v>11235</v>
      </c>
      <c r="O87" s="4" t="inlineStr">
        <is>
          <t>Long-serving</t>
        </is>
      </c>
      <c r="P87" s="4" t="inlineStr">
        <is>
          <t>Suburban</t>
        </is>
      </c>
      <c r="Q87" s="8" t="n">
        <v>40000</v>
      </c>
      <c r="R87" s="4" t="n">
        <v>2</v>
      </c>
      <c r="S87" s="4">
        <f>IF(ISNUMBER(M87), M87&lt;10, FALSE)</f>
        <v/>
      </c>
      <c r="T87" s="4">
        <f>IF(AND(F87="R", S87=TRUE), "High-D-Recruit", IF(O87="Open", "Open-Seat", IF(S87=TRUE, "Monitor", "Low")))</f>
        <v/>
      </c>
      <c r="U87" s="4">
        <f>IF(F87="R", TRUE, FALSE)</f>
        <v/>
      </c>
      <c r="V87" s="4">
        <f>IF(R87&gt;=7, "High", IF(R87&gt;=4, "Medium", "Low"))</f>
        <v/>
      </c>
    </row>
    <row r="88">
      <c r="A88" s="4" t="inlineStr">
        <is>
          <t>SC-House-087</t>
        </is>
      </c>
      <c r="B88" s="4" t="inlineStr">
        <is>
          <t>House District 87</t>
        </is>
      </c>
      <c r="C88" s="4" t="inlineStr">
        <is>
          <t>House</t>
        </is>
      </c>
      <c r="D88" s="4" t="n">
        <v>87</v>
      </c>
      <c r="E88" s="4" t="inlineStr">
        <is>
          <t>Paula Rawl Calhoon</t>
        </is>
      </c>
      <c r="F88" s="4" t="inlineStr">
        <is>
          <t>R</t>
        </is>
      </c>
      <c r="G88" s="4" t="n">
        <v>2016</v>
      </c>
      <c r="H88" s="4" t="n">
        <v>2026</v>
      </c>
      <c r="I88" s="4" t="inlineStr">
        <is>
          <t>Lexington</t>
        </is>
      </c>
      <c r="J88" s="4" t="inlineStr">
        <is>
          <t>Lexington</t>
        </is>
      </c>
      <c r="K88" s="4" t="inlineStr">
        <is>
          <t>Midlands</t>
        </is>
      </c>
      <c r="L88" s="4" t="n">
        <v>5</v>
      </c>
      <c r="M88" s="7" t="n">
        <v>18.8</v>
      </c>
      <c r="N88" s="8" t="n">
        <v>33033</v>
      </c>
      <c r="O88" s="4" t="inlineStr">
        <is>
          <t>Long-serving</t>
        </is>
      </c>
      <c r="P88" s="4" t="inlineStr">
        <is>
          <t>Suburban</t>
        </is>
      </c>
      <c r="Q88" s="8" t="n">
        <v>40000</v>
      </c>
      <c r="R88" s="4" t="n">
        <v>3</v>
      </c>
      <c r="S88" s="4">
        <f>IF(ISNUMBER(M88), M88&lt;10, FALSE)</f>
        <v/>
      </c>
      <c r="T88" s="4">
        <f>IF(AND(F88="R", S88=TRUE), "High-D-Recruit", IF(O88="Open", "Open-Seat", IF(S88=TRUE, "Monitor", "Low")))</f>
        <v/>
      </c>
      <c r="U88" s="4">
        <f>IF(F88="R", TRUE, FALSE)</f>
        <v/>
      </c>
      <c r="V88" s="4">
        <f>IF(R88&gt;=7, "High", IF(R88&gt;=4, "Medium", "Low"))</f>
        <v/>
      </c>
    </row>
    <row r="89">
      <c r="A89" s="4" t="inlineStr">
        <is>
          <t>SC-House-088</t>
        </is>
      </c>
      <c r="B89" s="4" t="inlineStr">
        <is>
          <t>House District 88</t>
        </is>
      </c>
      <c r="C89" s="4" t="inlineStr">
        <is>
          <t>House</t>
        </is>
      </c>
      <c r="D89" s="4" t="n">
        <v>88</v>
      </c>
      <c r="E89" s="4" t="inlineStr">
        <is>
          <t>John Lastinger</t>
        </is>
      </c>
      <c r="F89" s="4" t="inlineStr">
        <is>
          <t>R</t>
        </is>
      </c>
      <c r="G89" s="4" t="n">
        <v>2018</v>
      </c>
      <c r="H89" s="4" t="n">
        <v>2026</v>
      </c>
      <c r="I89" s="4" t="inlineStr">
        <is>
          <t>Lexington</t>
        </is>
      </c>
      <c r="J89" s="4" t="inlineStr">
        <is>
          <t>Lexington, Saluda</t>
        </is>
      </c>
      <c r="K89" s="4" t="inlineStr">
        <is>
          <t>Midlands</t>
        </is>
      </c>
      <c r="L89" s="4" t="n">
        <v>4</v>
      </c>
      <c r="M89" s="7" t="n">
        <v>7.8</v>
      </c>
      <c r="N89" s="8" t="n">
        <v>15483</v>
      </c>
      <c r="O89" s="4" t="inlineStr">
        <is>
          <t>Veteran</t>
        </is>
      </c>
      <c r="P89" s="4" t="inlineStr">
        <is>
          <t>Rural</t>
        </is>
      </c>
      <c r="Q89" s="8" t="n">
        <v>40000</v>
      </c>
      <c r="R89" s="4" t="n">
        <v>5</v>
      </c>
      <c r="S89" s="4">
        <f>IF(ISNUMBER(M89), M89&lt;10, FALSE)</f>
        <v/>
      </c>
      <c r="T89" s="4">
        <f>IF(AND(F89="R", S89=TRUE), "High-D-Recruit", IF(O89="Open", "Open-Seat", IF(S89=TRUE, "Monitor", "Low")))</f>
        <v/>
      </c>
      <c r="U89" s="4">
        <f>IF(F89="R", TRUE, FALSE)</f>
        <v/>
      </c>
      <c r="V89" s="4">
        <f>IF(R89&gt;=7, "High", IF(R89&gt;=4, "Medium", "Low"))</f>
        <v/>
      </c>
    </row>
    <row r="90">
      <c r="A90" s="4" t="inlineStr">
        <is>
          <t>SC-House-089</t>
        </is>
      </c>
      <c r="B90" s="4" t="inlineStr">
        <is>
          <t>House District 89</t>
        </is>
      </c>
      <c r="C90" s="4" t="inlineStr">
        <is>
          <t>House</t>
        </is>
      </c>
      <c r="D90" s="4" t="n">
        <v>89</v>
      </c>
      <c r="E90" s="4" t="inlineStr">
        <is>
          <t>Micajah P. "Micah" Caskey IV</t>
        </is>
      </c>
      <c r="F90" s="4" t="inlineStr">
        <is>
          <t>R</t>
        </is>
      </c>
      <c r="G90" s="4" t="n">
        <v>2014</v>
      </c>
      <c r="H90" s="4" t="n">
        <v>2026</v>
      </c>
      <c r="I90" s="4" t="inlineStr">
        <is>
          <t>Lexington</t>
        </is>
      </c>
      <c r="J90" s="4" t="inlineStr">
        <is>
          <t>Lexington</t>
        </is>
      </c>
      <c r="K90" s="4" t="inlineStr">
        <is>
          <t>Midlands</t>
        </is>
      </c>
      <c r="L90" s="4" t="n">
        <v>6</v>
      </c>
      <c r="M90" s="4" t="inlineStr">
        <is>
          <t>Unopposed</t>
        </is>
      </c>
      <c r="N90" s="8" t="n">
        <v>22346</v>
      </c>
      <c r="O90" s="4" t="inlineStr">
        <is>
          <t>Long-serving</t>
        </is>
      </c>
      <c r="P90" s="4" t="inlineStr">
        <is>
          <t>Suburban</t>
        </is>
      </c>
      <c r="Q90" s="8" t="n">
        <v>40000</v>
      </c>
      <c r="R90" s="4" t="n">
        <v>2</v>
      </c>
      <c r="S90" s="4">
        <f>IF(ISNUMBER(M90), M90&lt;10, FALSE)</f>
        <v/>
      </c>
      <c r="T90" s="4">
        <f>IF(AND(F90="R", S90=TRUE), "High-D-Recruit", IF(O90="Open", "Open-Seat", IF(S90=TRUE, "Monitor", "Low")))</f>
        <v/>
      </c>
      <c r="U90" s="4">
        <f>IF(F90="R", TRUE, FALSE)</f>
        <v/>
      </c>
      <c r="V90" s="4">
        <f>IF(R90&gt;=7, "High", IF(R90&gt;=4, "Medium", "Low"))</f>
        <v/>
      </c>
    </row>
    <row r="91">
      <c r="A91" s="4" t="inlineStr">
        <is>
          <t>SC-House-090</t>
        </is>
      </c>
      <c r="B91" s="4" t="inlineStr">
        <is>
          <t>House District 90</t>
        </is>
      </c>
      <c r="C91" s="4" t="inlineStr">
        <is>
          <t>House</t>
        </is>
      </c>
      <c r="D91" s="4" t="n">
        <v>90</v>
      </c>
      <c r="E91" s="4" t="inlineStr">
        <is>
          <t>Justin T. Bamberg</t>
        </is>
      </c>
      <c r="F91" s="4" t="inlineStr">
        <is>
          <t>D</t>
        </is>
      </c>
      <c r="G91" s="4" t="n">
        <v>2014</v>
      </c>
      <c r="H91" s="4" t="n">
        <v>2026</v>
      </c>
      <c r="I91" s="4" t="inlineStr">
        <is>
          <t>Bamberg</t>
        </is>
      </c>
      <c r="J91" s="4" t="inlineStr">
        <is>
          <t>Bamberg, Barnwell</t>
        </is>
      </c>
      <c r="K91" s="4" t="inlineStr">
        <is>
          <t>Lowcountry</t>
        </is>
      </c>
      <c r="L91" s="4" t="n">
        <v>6</v>
      </c>
      <c r="M91" s="4" t="inlineStr">
        <is>
          <t>Unopposed</t>
        </is>
      </c>
      <c r="N91" s="8" t="n">
        <v>12724</v>
      </c>
      <c r="O91" s="4" t="inlineStr">
        <is>
          <t>Long-serving</t>
        </is>
      </c>
      <c r="P91" s="4" t="inlineStr">
        <is>
          <t>Rural</t>
        </is>
      </c>
      <c r="Q91" s="8" t="n">
        <v>40000</v>
      </c>
      <c r="R91" s="4" t="n">
        <v>0</v>
      </c>
      <c r="S91" s="4">
        <f>IF(ISNUMBER(M91), M91&lt;10, FALSE)</f>
        <v/>
      </c>
      <c r="T91" s="4">
        <f>IF(AND(F91="R", S91=TRUE), "High-D-Recruit", IF(O91="Open", "Open-Seat", IF(S91=TRUE, "Monitor", "Low")))</f>
        <v/>
      </c>
      <c r="U91" s="4">
        <f>IF(F91="R", TRUE, FALSE)</f>
        <v/>
      </c>
      <c r="V91" s="4">
        <f>IF(R91&gt;=7, "High", IF(R91&gt;=4, "Medium", "Low"))</f>
        <v/>
      </c>
    </row>
    <row r="92">
      <c r="A92" s="4" t="inlineStr">
        <is>
          <t>SC-House-091</t>
        </is>
      </c>
      <c r="B92" s="4" t="inlineStr">
        <is>
          <t>House District 91</t>
        </is>
      </c>
      <c r="C92" s="4" t="inlineStr">
        <is>
          <t>House</t>
        </is>
      </c>
      <c r="D92" s="4" t="n">
        <v>91</v>
      </c>
      <c r="E92" s="4" t="inlineStr">
        <is>
          <t>Lonnie Hosey</t>
        </is>
      </c>
      <c r="F92" s="4" t="inlineStr">
        <is>
          <t>D</t>
        </is>
      </c>
      <c r="G92" s="4" t="n">
        <v>2014</v>
      </c>
      <c r="H92" s="4" t="n">
        <v>2026</v>
      </c>
      <c r="I92" s="4" t="inlineStr">
        <is>
          <t>Allendale</t>
        </is>
      </c>
      <c r="J92" s="4" t="inlineStr">
        <is>
          <t>Allendale, Hampton, Barnwell</t>
        </is>
      </c>
      <c r="K92" s="4" t="inlineStr">
        <is>
          <t>Lowcountry</t>
        </is>
      </c>
      <c r="L92" s="4" t="n">
        <v>6</v>
      </c>
      <c r="M92" s="7" t="n">
        <v>4.8</v>
      </c>
      <c r="N92" s="8" t="n">
        <v>30773</v>
      </c>
      <c r="O92" s="4" t="inlineStr">
        <is>
          <t>Long-serving</t>
        </is>
      </c>
      <c r="P92" s="4" t="inlineStr">
        <is>
          <t>Rural</t>
        </is>
      </c>
      <c r="Q92" s="8" t="n">
        <v>40000</v>
      </c>
      <c r="R92" s="4" t="n">
        <v>3</v>
      </c>
      <c r="S92" s="4">
        <f>IF(ISNUMBER(M92), M92&lt;10, FALSE)</f>
        <v/>
      </c>
      <c r="T92" s="4">
        <f>IF(AND(F92="R", S92=TRUE), "High-D-Recruit", IF(O92="Open", "Open-Seat", IF(S92=TRUE, "Monitor", "Low")))</f>
        <v/>
      </c>
      <c r="U92" s="4">
        <f>IF(F92="R", TRUE, FALSE)</f>
        <v/>
      </c>
      <c r="V92" s="4">
        <f>IF(R92&gt;=7, "High", IF(R92&gt;=4, "Medium", "Low"))</f>
        <v/>
      </c>
    </row>
    <row r="93">
      <c r="A93" s="4" t="inlineStr">
        <is>
          <t>SC-House-092</t>
        </is>
      </c>
      <c r="B93" s="4" t="inlineStr">
        <is>
          <t>House District 92</t>
        </is>
      </c>
      <c r="C93" s="4" t="inlineStr">
        <is>
          <t>House</t>
        </is>
      </c>
      <c r="D93" s="4" t="n">
        <v>92</v>
      </c>
      <c r="E93" s="4" t="inlineStr">
        <is>
          <t>Brandon L. Cox</t>
        </is>
      </c>
      <c r="F93" s="4" t="inlineStr">
        <is>
          <t>R</t>
        </is>
      </c>
      <c r="G93" s="4" t="n">
        <v>2020</v>
      </c>
      <c r="H93" s="4" t="n">
        <v>2026</v>
      </c>
      <c r="I93" s="4" t="inlineStr">
        <is>
          <t>Aiken</t>
        </is>
      </c>
      <c r="J93" s="4" t="inlineStr">
        <is>
          <t>Aiken</t>
        </is>
      </c>
      <c r="K93" s="4" t="inlineStr">
        <is>
          <t>Midlands</t>
        </is>
      </c>
      <c r="L93" s="4" t="n">
        <v>3</v>
      </c>
      <c r="M93" s="7" t="n">
        <v>12.2</v>
      </c>
      <c r="N93" s="8" t="n">
        <v>27418</v>
      </c>
      <c r="O93" s="4" t="inlineStr">
        <is>
          <t>Veteran</t>
        </is>
      </c>
      <c r="P93" s="4" t="inlineStr">
        <is>
          <t>Suburban</t>
        </is>
      </c>
      <c r="Q93" s="8" t="n">
        <v>40000</v>
      </c>
      <c r="R93" s="4" t="n">
        <v>4</v>
      </c>
      <c r="S93" s="4">
        <f>IF(ISNUMBER(M93), M93&lt;10, FALSE)</f>
        <v/>
      </c>
      <c r="T93" s="4">
        <f>IF(AND(F93="R", S93=TRUE), "High-D-Recruit", IF(O93="Open", "Open-Seat", IF(S93=TRUE, "Monitor", "Low")))</f>
        <v/>
      </c>
      <c r="U93" s="4">
        <f>IF(F93="R", TRUE, FALSE)</f>
        <v/>
      </c>
      <c r="V93" s="4">
        <f>IF(R93&gt;=7, "High", IF(R93&gt;=4, "Medium", "Low"))</f>
        <v/>
      </c>
    </row>
    <row r="94">
      <c r="A94" s="4" t="inlineStr">
        <is>
          <t>SC-House-093</t>
        </is>
      </c>
      <c r="B94" s="4" t="inlineStr">
        <is>
          <t>House District 93</t>
        </is>
      </c>
      <c r="C94" s="4" t="inlineStr">
        <is>
          <t>House</t>
        </is>
      </c>
      <c r="D94" s="4" t="n">
        <v>93</v>
      </c>
      <c r="E94" s="4" t="inlineStr">
        <is>
          <t>Jerry N. Govan, Jr.</t>
        </is>
      </c>
      <c r="F94" s="4" t="inlineStr">
        <is>
          <t>D</t>
        </is>
      </c>
      <c r="G94" s="4" t="n">
        <v>2016</v>
      </c>
      <c r="H94" s="4" t="n">
        <v>2026</v>
      </c>
      <c r="I94" s="4" t="inlineStr">
        <is>
          <t>Orangeburg</t>
        </is>
      </c>
      <c r="J94" s="4" t="inlineStr">
        <is>
          <t>Orangeburg</t>
        </is>
      </c>
      <c r="K94" s="4" t="inlineStr">
        <is>
          <t>Midlands</t>
        </is>
      </c>
      <c r="L94" s="4" t="n">
        <v>5</v>
      </c>
      <c r="M94" s="7" t="n">
        <v>17</v>
      </c>
      <c r="N94" s="8" t="n">
        <v>27793</v>
      </c>
      <c r="O94" s="4" t="inlineStr">
        <is>
          <t>Long-serving</t>
        </is>
      </c>
      <c r="P94" s="4" t="inlineStr">
        <is>
          <t>Mixed</t>
        </is>
      </c>
      <c r="Q94" s="8" t="n">
        <v>40000</v>
      </c>
      <c r="R94" s="4" t="n">
        <v>1</v>
      </c>
      <c r="S94" s="4">
        <f>IF(ISNUMBER(M94), M94&lt;10, FALSE)</f>
        <v/>
      </c>
      <c r="T94" s="4">
        <f>IF(AND(F94="R", S94=TRUE), "High-D-Recruit", IF(O94="Open", "Open-Seat", IF(S94=TRUE, "Monitor", "Low")))</f>
        <v/>
      </c>
      <c r="U94" s="4">
        <f>IF(F94="R", TRUE, FALSE)</f>
        <v/>
      </c>
      <c r="V94" s="4">
        <f>IF(R94&gt;=7, "High", IF(R94&gt;=4, "Medium", "Low"))</f>
        <v/>
      </c>
    </row>
    <row r="95">
      <c r="A95" s="4" t="inlineStr">
        <is>
          <t>SC-House-094</t>
        </is>
      </c>
      <c r="B95" s="4" t="inlineStr">
        <is>
          <t>House District 94</t>
        </is>
      </c>
      <c r="C95" s="4" t="inlineStr">
        <is>
          <t>House</t>
        </is>
      </c>
      <c r="D95" s="4" t="n">
        <v>94</v>
      </c>
      <c r="E95" s="4" t="inlineStr">
        <is>
          <t>Gil Gatch</t>
        </is>
      </c>
      <c r="F95" s="4" t="inlineStr">
        <is>
          <t>R</t>
        </is>
      </c>
      <c r="G95" s="4" t="n">
        <v>1998</v>
      </c>
      <c r="H95" s="4" t="n">
        <v>2026</v>
      </c>
      <c r="I95" s="4" t="inlineStr">
        <is>
          <t>Orangeburg</t>
        </is>
      </c>
      <c r="J95" s="4" t="inlineStr">
        <is>
          <t>Orangeburg, Calhoun</t>
        </is>
      </c>
      <c r="K95" s="4" t="inlineStr">
        <is>
          <t>Midlands</t>
        </is>
      </c>
      <c r="L95" s="4" t="n">
        <v>14</v>
      </c>
      <c r="M95" s="7" t="n">
        <v>17.3</v>
      </c>
      <c r="N95" s="8" t="n">
        <v>28861</v>
      </c>
      <c r="O95" s="4" t="inlineStr">
        <is>
          <t>Long-serving</t>
        </is>
      </c>
      <c r="P95" s="4" t="inlineStr">
        <is>
          <t>Rural</t>
        </is>
      </c>
      <c r="Q95" s="8" t="n">
        <v>40000</v>
      </c>
      <c r="R95" s="4" t="n">
        <v>3</v>
      </c>
      <c r="S95" s="4">
        <f>IF(ISNUMBER(M95), M95&lt;10, FALSE)</f>
        <v/>
      </c>
      <c r="T95" s="4">
        <f>IF(AND(F95="R", S95=TRUE), "High-D-Recruit", IF(O95="Open", "Open-Seat", IF(S95=TRUE, "Monitor", "Low")))</f>
        <v/>
      </c>
      <c r="U95" s="4">
        <f>IF(F95="R", TRUE, FALSE)</f>
        <v/>
      </c>
      <c r="V95" s="4">
        <f>IF(R95&gt;=7, "High", IF(R95&gt;=4, "Medium", "Low"))</f>
        <v/>
      </c>
    </row>
    <row r="96">
      <c r="A96" s="4" t="inlineStr">
        <is>
          <t>SC-House-095</t>
        </is>
      </c>
      <c r="B96" s="4" t="inlineStr">
        <is>
          <t>House District 95</t>
        </is>
      </c>
      <c r="C96" s="4" t="inlineStr">
        <is>
          <t>House</t>
        </is>
      </c>
      <c r="D96" s="4" t="n">
        <v>95</v>
      </c>
      <c r="E96" s="4" t="inlineStr">
        <is>
          <t>Gilda Cobb-Hunter</t>
        </is>
      </c>
      <c r="F96" s="4" t="inlineStr">
        <is>
          <t>D</t>
        </is>
      </c>
      <c r="G96" s="4" t="n">
        <v>2006</v>
      </c>
      <c r="H96" s="4" t="n">
        <v>2026</v>
      </c>
      <c r="I96" s="4" t="inlineStr">
        <is>
          <t>Orangeburg</t>
        </is>
      </c>
      <c r="J96" s="4" t="inlineStr">
        <is>
          <t>Orangeburg</t>
        </is>
      </c>
      <c r="K96" s="4" t="inlineStr">
        <is>
          <t>Midlands</t>
        </is>
      </c>
      <c r="L96" s="4" t="n">
        <v>10</v>
      </c>
      <c r="M96" s="7" t="n">
        <v>4.2</v>
      </c>
      <c r="N96" s="8" t="n">
        <v>38937</v>
      </c>
      <c r="O96" s="4" t="inlineStr">
        <is>
          <t>Long-serving</t>
        </is>
      </c>
      <c r="P96" s="4" t="inlineStr">
        <is>
          <t>Mixed</t>
        </is>
      </c>
      <c r="Q96" s="8" t="n">
        <v>40000</v>
      </c>
      <c r="R96" s="4" t="n">
        <v>3</v>
      </c>
      <c r="S96" s="4">
        <f>IF(ISNUMBER(M96), M96&lt;10, FALSE)</f>
        <v/>
      </c>
      <c r="T96" s="4">
        <f>IF(AND(F96="R", S96=TRUE), "High-D-Recruit", IF(O96="Open", "Open-Seat", IF(S96=TRUE, "Monitor", "Low")))</f>
        <v/>
      </c>
      <c r="U96" s="4">
        <f>IF(F96="R", TRUE, FALSE)</f>
        <v/>
      </c>
      <c r="V96" s="4">
        <f>IF(R96&gt;=7, "High", IF(R96&gt;=4, "Medium", "Low"))</f>
        <v/>
      </c>
    </row>
    <row r="97">
      <c r="A97" s="4" t="inlineStr">
        <is>
          <t>SC-House-096</t>
        </is>
      </c>
      <c r="B97" s="4" t="inlineStr">
        <is>
          <t>House District 96</t>
        </is>
      </c>
      <c r="C97" s="4" t="inlineStr">
        <is>
          <t>House</t>
        </is>
      </c>
      <c r="D97" s="4" t="n">
        <v>96</v>
      </c>
      <c r="E97" s="4" t="inlineStr">
        <is>
          <t>Donald Ryan McCabe, Jr.</t>
        </is>
      </c>
      <c r="F97" s="4" t="inlineStr">
        <is>
          <t>R</t>
        </is>
      </c>
      <c r="G97" s="4" t="n">
        <v>2018</v>
      </c>
      <c r="H97" s="4" t="n">
        <v>2026</v>
      </c>
      <c r="I97" s="4" t="inlineStr">
        <is>
          <t>Aiken</t>
        </is>
      </c>
      <c r="J97" s="4" t="inlineStr">
        <is>
          <t>Aiken</t>
        </is>
      </c>
      <c r="K97" s="4" t="inlineStr">
        <is>
          <t>Midlands</t>
        </is>
      </c>
      <c r="L97" s="4" t="n">
        <v>4</v>
      </c>
      <c r="M97" s="4" t="inlineStr">
        <is>
          <t>Unopposed</t>
        </is>
      </c>
      <c r="N97" s="8" t="n">
        <v>19105</v>
      </c>
      <c r="O97" s="4" t="inlineStr">
        <is>
          <t>Veteran</t>
        </is>
      </c>
      <c r="P97" s="4" t="inlineStr">
        <is>
          <t>Suburban</t>
        </is>
      </c>
      <c r="Q97" s="8" t="n">
        <v>40000</v>
      </c>
      <c r="R97" s="4" t="n">
        <v>3</v>
      </c>
      <c r="S97" s="4">
        <f>IF(ISNUMBER(M97), M97&lt;10, FALSE)</f>
        <v/>
      </c>
      <c r="T97" s="4">
        <f>IF(AND(F97="R", S97=TRUE), "High-D-Recruit", IF(O97="Open", "Open-Seat", IF(S97=TRUE, "Monitor", "Low")))</f>
        <v/>
      </c>
      <c r="U97" s="4">
        <f>IF(F97="R", TRUE, FALSE)</f>
        <v/>
      </c>
      <c r="V97" s="4">
        <f>IF(R97&gt;=7, "High", IF(R97&gt;=4, "Medium", "Low"))</f>
        <v/>
      </c>
    </row>
    <row r="98">
      <c r="A98" s="4" t="inlineStr">
        <is>
          <t>SC-House-097</t>
        </is>
      </c>
      <c r="B98" s="4" t="inlineStr">
        <is>
          <t>House District 97</t>
        </is>
      </c>
      <c r="C98" s="4" t="inlineStr">
        <is>
          <t>House</t>
        </is>
      </c>
      <c r="D98" s="4" t="n">
        <v>97</v>
      </c>
      <c r="E98" s="4" t="inlineStr">
        <is>
          <t>Robby Robbins</t>
        </is>
      </c>
      <c r="F98" s="4" t="inlineStr">
        <is>
          <t>R</t>
        </is>
      </c>
      <c r="G98" s="4" t="n">
        <v>2018</v>
      </c>
      <c r="H98" s="4" t="n">
        <v>2026</v>
      </c>
      <c r="I98" s="4" t="inlineStr">
        <is>
          <t>Edgefield</t>
        </is>
      </c>
      <c r="J98" s="4" t="inlineStr">
        <is>
          <t>Edgefield, Saluda, Aiken</t>
        </is>
      </c>
      <c r="K98" s="4" t="inlineStr">
        <is>
          <t>Upstate</t>
        </is>
      </c>
      <c r="L98" s="4" t="n">
        <v>4</v>
      </c>
      <c r="M98" s="7" t="n">
        <v>8.5</v>
      </c>
      <c r="N98" s="8" t="n">
        <v>22133</v>
      </c>
      <c r="O98" s="4" t="inlineStr">
        <is>
          <t>Veteran</t>
        </is>
      </c>
      <c r="P98" s="4" t="inlineStr">
        <is>
          <t>Rural</t>
        </is>
      </c>
      <c r="Q98" s="8" t="n">
        <v>40000</v>
      </c>
      <c r="R98" s="4" t="n">
        <v>5</v>
      </c>
      <c r="S98" s="4">
        <f>IF(ISNUMBER(M98), M98&lt;10, FALSE)</f>
        <v/>
      </c>
      <c r="T98" s="4">
        <f>IF(AND(F98="R", S98=TRUE), "High-D-Recruit", IF(O98="Open", "Open-Seat", IF(S98=TRUE, "Monitor", "Low")))</f>
        <v/>
      </c>
      <c r="U98" s="4">
        <f>IF(F98="R", TRUE, FALSE)</f>
        <v/>
      </c>
      <c r="V98" s="4">
        <f>IF(R98&gt;=7, "High", IF(R98&gt;=4, "Medium", "Low"))</f>
        <v/>
      </c>
    </row>
    <row r="99">
      <c r="A99" s="4" t="inlineStr">
        <is>
          <t>SC-House-098</t>
        </is>
      </c>
      <c r="B99" s="4" t="inlineStr">
        <is>
          <t>House District 98</t>
        </is>
      </c>
      <c r="C99" s="4" t="inlineStr">
        <is>
          <t>House</t>
        </is>
      </c>
      <c r="D99" s="4" t="n">
        <v>98</v>
      </c>
      <c r="E99" s="4" t="inlineStr"/>
      <c r="F99" s="4" t="inlineStr"/>
      <c r="G99" s="4" t="n"/>
      <c r="H99" s="4" t="n">
        <v>2026</v>
      </c>
      <c r="I99" s="4" t="inlineStr">
        <is>
          <t>Orangeburg</t>
        </is>
      </c>
      <c r="J99" s="4" t="inlineStr">
        <is>
          <t>Orangeburg, Dorchester</t>
        </is>
      </c>
      <c r="K99" s="4" t="inlineStr">
        <is>
          <t>Midlands</t>
        </is>
      </c>
      <c r="L99" s="4" t="n">
        <v>0</v>
      </c>
      <c r="M99" s="4" t="inlineStr">
        <is>
          <t>Unopposed</t>
        </is>
      </c>
      <c r="N99" s="8" t="n">
        <v>19489</v>
      </c>
      <c r="O99" s="4" t="inlineStr">
        <is>
          <t>Open</t>
        </is>
      </c>
      <c r="P99" s="4" t="inlineStr">
        <is>
          <t>Rural</t>
        </is>
      </c>
      <c r="Q99" s="8" t="n">
        <v>40000</v>
      </c>
      <c r="R99" s="4" t="n">
        <v>5</v>
      </c>
      <c r="S99" s="4">
        <f>IF(ISNUMBER(M99), M99&lt;10, FALSE)</f>
        <v/>
      </c>
      <c r="T99" s="4">
        <f>IF(AND(F99="R", S99=TRUE), "High-D-Recruit", IF(O99="Open", "Open-Seat", IF(S99=TRUE, "Monitor", "Low")))</f>
        <v/>
      </c>
      <c r="U99" s="4">
        <f>IF(F99="R", TRUE, FALSE)</f>
        <v/>
      </c>
      <c r="V99" s="4">
        <f>IF(R99&gt;=7, "High", IF(R99&gt;=4, "Medium", "Low"))</f>
        <v/>
      </c>
    </row>
    <row r="100">
      <c r="A100" s="4" t="inlineStr">
        <is>
          <t>SC-House-099</t>
        </is>
      </c>
      <c r="B100" s="4" t="inlineStr">
        <is>
          <t>House District 99</t>
        </is>
      </c>
      <c r="C100" s="4" t="inlineStr">
        <is>
          <t>House</t>
        </is>
      </c>
      <c r="D100" s="4" t="n">
        <v>99</v>
      </c>
      <c r="E100" s="4" t="inlineStr">
        <is>
          <t>Marvin "Mark" Smith</t>
        </is>
      </c>
      <c r="F100" s="4" t="inlineStr">
        <is>
          <t>R</t>
        </is>
      </c>
      <c r="G100" s="4" t="n">
        <v>2018</v>
      </c>
      <c r="H100" s="4" t="n">
        <v>2026</v>
      </c>
      <c r="I100" s="4" t="inlineStr">
        <is>
          <t>Dorchester</t>
        </is>
      </c>
      <c r="J100" s="4" t="inlineStr">
        <is>
          <t>Dorchester, Colleton</t>
        </is>
      </c>
      <c r="K100" s="4" t="inlineStr">
        <is>
          <t>Lowcountry</t>
        </is>
      </c>
      <c r="L100" s="4" t="n">
        <v>4</v>
      </c>
      <c r="M100" s="4" t="inlineStr">
        <is>
          <t>Unopposed</t>
        </is>
      </c>
      <c r="N100" s="8" t="n">
        <v>10998</v>
      </c>
      <c r="O100" s="4" t="inlineStr">
        <is>
          <t>Veteran</t>
        </is>
      </c>
      <c r="P100" s="4" t="inlineStr">
        <is>
          <t>Rural</t>
        </is>
      </c>
      <c r="Q100" s="8" t="n">
        <v>40000</v>
      </c>
      <c r="R100" s="4" t="n">
        <v>3</v>
      </c>
      <c r="S100" s="4">
        <f>IF(ISNUMBER(M100), M100&lt;10, FALSE)</f>
        <v/>
      </c>
      <c r="T100" s="4">
        <f>IF(AND(F100="R", S100=TRUE), "High-D-Recruit", IF(O100="Open", "Open-Seat", IF(S100=TRUE, "Monitor", "Low")))</f>
        <v/>
      </c>
      <c r="U100" s="4">
        <f>IF(F100="R", TRUE, FALSE)</f>
        <v/>
      </c>
      <c r="V100" s="4">
        <f>IF(R100&gt;=7, "High", IF(R100&gt;=4, "Medium", "Low"))</f>
        <v/>
      </c>
    </row>
    <row r="101">
      <c r="A101" s="4" t="inlineStr">
        <is>
          <t>SC-House-100</t>
        </is>
      </c>
      <c r="B101" s="4" t="inlineStr">
        <is>
          <t>House District 100</t>
        </is>
      </c>
      <c r="C101" s="4" t="inlineStr">
        <is>
          <t>House</t>
        </is>
      </c>
      <c r="D101" s="4" t="n">
        <v>100</v>
      </c>
      <c r="E101" s="4" t="inlineStr">
        <is>
          <t>Sylleste H. Davis</t>
        </is>
      </c>
      <c r="F101" s="4" t="inlineStr">
        <is>
          <t>R</t>
        </is>
      </c>
      <c r="G101" s="4" t="n">
        <v>2024</v>
      </c>
      <c r="H101" s="4" t="n">
        <v>2026</v>
      </c>
      <c r="I101" s="4" t="inlineStr">
        <is>
          <t>Clarendon</t>
        </is>
      </c>
      <c r="J101" s="4" t="inlineStr">
        <is>
          <t>Clarendon, Williamsburg</t>
        </is>
      </c>
      <c r="K101" s="4" t="inlineStr">
        <is>
          <t>Pee Dee</t>
        </is>
      </c>
      <c r="L101" s="4" t="n">
        <v>1</v>
      </c>
      <c r="M101" s="4" t="inlineStr">
        <is>
          <t>Unopposed</t>
        </is>
      </c>
      <c r="N101" s="8" t="n">
        <v>10936</v>
      </c>
      <c r="O101" s="4" t="inlineStr">
        <is>
          <t>First-term</t>
        </is>
      </c>
      <c r="P101" s="4" t="inlineStr">
        <is>
          <t>Rural</t>
        </is>
      </c>
      <c r="Q101" s="8" t="n">
        <v>40000</v>
      </c>
      <c r="R101" s="4" t="n">
        <v>4</v>
      </c>
      <c r="S101" s="4">
        <f>IF(ISNUMBER(M101), M101&lt;10, FALSE)</f>
        <v/>
      </c>
      <c r="T101" s="4">
        <f>IF(AND(F101="R", S101=TRUE), "High-D-Recruit", IF(O101="Open", "Open-Seat", IF(S101=TRUE, "Monitor", "Low")))</f>
        <v/>
      </c>
      <c r="U101" s="4">
        <f>IF(F101="R", TRUE, FALSE)</f>
        <v/>
      </c>
      <c r="V101" s="4">
        <f>IF(R101&gt;=7, "High", IF(R101&gt;=4, "Medium", "Low"))</f>
        <v/>
      </c>
    </row>
    <row r="102">
      <c r="A102" s="4" t="inlineStr">
        <is>
          <t>SC-House-101</t>
        </is>
      </c>
      <c r="B102" s="4" t="inlineStr">
        <is>
          <t>House District 101</t>
        </is>
      </c>
      <c r="C102" s="4" t="inlineStr">
        <is>
          <t>House</t>
        </is>
      </c>
      <c r="D102" s="4" t="n">
        <v>101</v>
      </c>
      <c r="E102" s="4" t="inlineStr">
        <is>
          <t>Roger K. Kirby</t>
        </is>
      </c>
      <c r="F102" s="4" t="inlineStr">
        <is>
          <t>D</t>
        </is>
      </c>
      <c r="G102" s="4" t="n">
        <v>2008</v>
      </c>
      <c r="H102" s="4" t="n">
        <v>2026</v>
      </c>
      <c r="I102" s="4" t="inlineStr">
        <is>
          <t>Florence</t>
        </is>
      </c>
      <c r="J102" s="4" t="inlineStr">
        <is>
          <t>Florence, Williamsburg</t>
        </is>
      </c>
      <c r="K102" s="4" t="inlineStr">
        <is>
          <t>Pee Dee</t>
        </is>
      </c>
      <c r="L102" s="4" t="n">
        <v>9</v>
      </c>
      <c r="M102" s="7" t="n">
        <v>15.5</v>
      </c>
      <c r="N102" s="8" t="n">
        <v>30623</v>
      </c>
      <c r="O102" s="4" t="inlineStr">
        <is>
          <t>Long-serving</t>
        </is>
      </c>
      <c r="P102" s="4" t="inlineStr">
        <is>
          <t>Rural</t>
        </is>
      </c>
      <c r="Q102" s="8" t="n">
        <v>40000</v>
      </c>
      <c r="R102" s="4" t="n">
        <v>1</v>
      </c>
      <c r="S102" s="4">
        <f>IF(ISNUMBER(M102), M102&lt;10, FALSE)</f>
        <v/>
      </c>
      <c r="T102" s="4">
        <f>IF(AND(F102="R", S102=TRUE), "High-D-Recruit", IF(O102="Open", "Open-Seat", IF(S102=TRUE, "Monitor", "Low")))</f>
        <v/>
      </c>
      <c r="U102" s="4">
        <f>IF(F102="R", TRUE, FALSE)</f>
        <v/>
      </c>
      <c r="V102" s="4">
        <f>IF(R102&gt;=7, "High", IF(R102&gt;=4, "Medium", "Low"))</f>
        <v/>
      </c>
    </row>
    <row r="103">
      <c r="A103" s="4" t="inlineStr">
        <is>
          <t>SC-House-102</t>
        </is>
      </c>
      <c r="B103" s="4" t="inlineStr">
        <is>
          <t>House District 102</t>
        </is>
      </c>
      <c r="C103" s="4" t="inlineStr">
        <is>
          <t>House</t>
        </is>
      </c>
      <c r="D103" s="4" t="n">
        <v>102</v>
      </c>
      <c r="E103" s="4" t="inlineStr">
        <is>
          <t>Harriet A. Holman</t>
        </is>
      </c>
      <c r="F103" s="4" t="inlineStr">
        <is>
          <t>R</t>
        </is>
      </c>
      <c r="G103" s="4" t="n">
        <v>2010</v>
      </c>
      <c r="H103" s="4" t="n">
        <v>2026</v>
      </c>
      <c r="I103" s="4" t="inlineStr">
        <is>
          <t>Horry</t>
        </is>
      </c>
      <c r="J103" s="4" t="inlineStr">
        <is>
          <t>Horry, Georgetown</t>
        </is>
      </c>
      <c r="K103" s="4" t="inlineStr">
        <is>
          <t>Pee Dee</t>
        </is>
      </c>
      <c r="L103" s="4" t="n">
        <v>8</v>
      </c>
      <c r="M103" s="7" t="n">
        <v>18.5</v>
      </c>
      <c r="N103" s="8" t="n">
        <v>31640</v>
      </c>
      <c r="O103" s="4" t="inlineStr">
        <is>
          <t>Long-serving</t>
        </is>
      </c>
      <c r="P103" s="4" t="inlineStr">
        <is>
          <t>Suburban</t>
        </is>
      </c>
      <c r="Q103" s="8" t="n">
        <v>40000</v>
      </c>
      <c r="R103" s="4" t="n">
        <v>3</v>
      </c>
      <c r="S103" s="4">
        <f>IF(ISNUMBER(M103), M103&lt;10, FALSE)</f>
        <v/>
      </c>
      <c r="T103" s="4">
        <f>IF(AND(F103="R", S103=TRUE), "High-D-Recruit", IF(O103="Open", "Open-Seat", IF(S103=TRUE, "Monitor", "Low")))</f>
        <v/>
      </c>
      <c r="U103" s="4">
        <f>IF(F103="R", TRUE, FALSE)</f>
        <v/>
      </c>
      <c r="V103" s="4">
        <f>IF(R103&gt;=7, "High", IF(R103&gt;=4, "Medium", "Low"))</f>
        <v/>
      </c>
    </row>
    <row r="104">
      <c r="A104" s="4" t="inlineStr">
        <is>
          <t>SC-House-103</t>
        </is>
      </c>
      <c r="B104" s="4" t="inlineStr">
        <is>
          <t>House District 103</t>
        </is>
      </c>
      <c r="C104" s="4" t="inlineStr">
        <is>
          <t>House</t>
        </is>
      </c>
      <c r="D104" s="4" t="n">
        <v>103</v>
      </c>
      <c r="E104" s="4" t="inlineStr">
        <is>
          <t>Carl L. Anderson</t>
        </is>
      </c>
      <c r="F104" s="4" t="inlineStr">
        <is>
          <t>D</t>
        </is>
      </c>
      <c r="G104" s="4" t="n">
        <v>2022</v>
      </c>
      <c r="H104" s="4" t="n">
        <v>2026</v>
      </c>
      <c r="I104" s="4" t="inlineStr">
        <is>
          <t>Georgetown</t>
        </is>
      </c>
      <c r="J104" s="4" t="inlineStr">
        <is>
          <t>Georgetown</t>
        </is>
      </c>
      <c r="K104" s="4" t="inlineStr">
        <is>
          <t>Pee Dee</t>
        </is>
      </c>
      <c r="L104" s="4" t="n">
        <v>2</v>
      </c>
      <c r="M104" s="7" t="n">
        <v>10.3</v>
      </c>
      <c r="N104" s="8" t="n">
        <v>21089</v>
      </c>
      <c r="O104" s="4" t="inlineStr">
        <is>
          <t>Veteran</t>
        </is>
      </c>
      <c r="P104" s="4" t="inlineStr">
        <is>
          <t>Mixed</t>
        </is>
      </c>
      <c r="Q104" s="8" t="n">
        <v>40000</v>
      </c>
      <c r="R104" s="4" t="n">
        <v>2</v>
      </c>
      <c r="S104" s="4">
        <f>IF(ISNUMBER(M104), M104&lt;10, FALSE)</f>
        <v/>
      </c>
      <c r="T104" s="4">
        <f>IF(AND(F104="R", S104=TRUE), "High-D-Recruit", IF(O104="Open", "Open-Seat", IF(S104=TRUE, "Monitor", "Low")))</f>
        <v/>
      </c>
      <c r="U104" s="4">
        <f>IF(F104="R", TRUE, FALSE)</f>
        <v/>
      </c>
      <c r="V104" s="4">
        <f>IF(R104&gt;=7, "High", IF(R104&gt;=4, "Medium", "Low"))</f>
        <v/>
      </c>
    </row>
    <row r="105">
      <c r="A105" s="4" t="inlineStr">
        <is>
          <t>SC-House-104</t>
        </is>
      </c>
      <c r="B105" s="4" t="inlineStr">
        <is>
          <t>House District 104</t>
        </is>
      </c>
      <c r="C105" s="4" t="inlineStr">
        <is>
          <t>House</t>
        </is>
      </c>
      <c r="D105" s="4" t="n">
        <v>104</v>
      </c>
      <c r="E105" s="4" t="inlineStr">
        <is>
          <t>William H. Bailey</t>
        </is>
      </c>
      <c r="F105" s="4" t="inlineStr">
        <is>
          <t>R</t>
        </is>
      </c>
      <c r="G105" s="4" t="n">
        <v>2006</v>
      </c>
      <c r="H105" s="4" t="n">
        <v>2026</v>
      </c>
      <c r="I105" s="4" t="inlineStr">
        <is>
          <t>Horry</t>
        </is>
      </c>
      <c r="J105" s="4" t="inlineStr">
        <is>
          <t>Horry</t>
        </is>
      </c>
      <c r="K105" s="4" t="inlineStr">
        <is>
          <t>Pee Dee</t>
        </is>
      </c>
      <c r="L105" s="4" t="n">
        <v>10</v>
      </c>
      <c r="M105" s="7" t="n">
        <v>33.1</v>
      </c>
      <c r="N105" s="8" t="n">
        <v>28230</v>
      </c>
      <c r="O105" s="4" t="inlineStr">
        <is>
          <t>Long-serving</t>
        </is>
      </c>
      <c r="P105" s="4" t="inlineStr">
        <is>
          <t>Suburban</t>
        </is>
      </c>
      <c r="Q105" s="8" t="n">
        <v>40000</v>
      </c>
      <c r="R105" s="4" t="n">
        <v>3</v>
      </c>
      <c r="S105" s="4">
        <f>IF(ISNUMBER(M105), M105&lt;10, FALSE)</f>
        <v/>
      </c>
      <c r="T105" s="4">
        <f>IF(AND(F105="R", S105=TRUE), "High-D-Recruit", IF(O105="Open", "Open-Seat", IF(S105=TRUE, "Monitor", "Low")))</f>
        <v/>
      </c>
      <c r="U105" s="4">
        <f>IF(F105="R", TRUE, FALSE)</f>
        <v/>
      </c>
      <c r="V105" s="4">
        <f>IF(R105&gt;=7, "High", IF(R105&gt;=4, "Medium", "Low"))</f>
        <v/>
      </c>
    </row>
    <row r="106">
      <c r="A106" s="4" t="inlineStr">
        <is>
          <t>SC-House-105</t>
        </is>
      </c>
      <c r="B106" s="4" t="inlineStr">
        <is>
          <t>House District 105</t>
        </is>
      </c>
      <c r="C106" s="4" t="inlineStr">
        <is>
          <t>House</t>
        </is>
      </c>
      <c r="D106" s="4" t="n">
        <v>105</v>
      </c>
      <c r="E106" s="4" t="inlineStr">
        <is>
          <t>Kevin Hardee</t>
        </is>
      </c>
      <c r="F106" s="4" t="inlineStr">
        <is>
          <t>R</t>
        </is>
      </c>
      <c r="G106" s="4" t="n">
        <v>2008</v>
      </c>
      <c r="H106" s="4" t="n">
        <v>2026</v>
      </c>
      <c r="I106" s="4" t="inlineStr">
        <is>
          <t>Horry</t>
        </is>
      </c>
      <c r="J106" s="4" t="inlineStr">
        <is>
          <t>Horry</t>
        </is>
      </c>
      <c r="K106" s="4" t="inlineStr">
        <is>
          <t>Pee Dee</t>
        </is>
      </c>
      <c r="L106" s="4" t="n">
        <v>9</v>
      </c>
      <c r="M106" s="7" t="n">
        <v>23.2</v>
      </c>
      <c r="N106" s="8" t="n">
        <v>33667</v>
      </c>
      <c r="O106" s="4" t="inlineStr">
        <is>
          <t>Long-serving</t>
        </is>
      </c>
      <c r="P106" s="4" t="inlineStr">
        <is>
          <t>Suburban</t>
        </is>
      </c>
      <c r="Q106" s="8" t="n">
        <v>40000</v>
      </c>
      <c r="R106" s="4" t="n">
        <v>3</v>
      </c>
      <c r="S106" s="4">
        <f>IF(ISNUMBER(M106), M106&lt;10, FALSE)</f>
        <v/>
      </c>
      <c r="T106" s="4">
        <f>IF(AND(F106="R", S106=TRUE), "High-D-Recruit", IF(O106="Open", "Open-Seat", IF(S106=TRUE, "Monitor", "Low")))</f>
        <v/>
      </c>
      <c r="U106" s="4">
        <f>IF(F106="R", TRUE, FALSE)</f>
        <v/>
      </c>
      <c r="V106" s="4">
        <f>IF(R106&gt;=7, "High", IF(R106&gt;=4, "Medium", "Low"))</f>
        <v/>
      </c>
    </row>
    <row r="107">
      <c r="A107" s="4" t="inlineStr">
        <is>
          <t>SC-House-106</t>
        </is>
      </c>
      <c r="B107" s="4" t="inlineStr">
        <is>
          <t>House District 106</t>
        </is>
      </c>
      <c r="C107" s="4" t="inlineStr">
        <is>
          <t>House</t>
        </is>
      </c>
      <c r="D107" s="4" t="n">
        <v>106</v>
      </c>
      <c r="E107" s="4" t="inlineStr">
        <is>
          <t>Thomas Duval "Val" Guest, Jr.</t>
        </is>
      </c>
      <c r="F107" s="4" t="inlineStr">
        <is>
          <t>R</t>
        </is>
      </c>
      <c r="G107" s="4" t="n">
        <v>2014</v>
      </c>
      <c r="H107" s="4" t="n">
        <v>2026</v>
      </c>
      <c r="I107" s="4" t="inlineStr">
        <is>
          <t>Georgetown</t>
        </is>
      </c>
      <c r="J107" s="4" t="inlineStr">
        <is>
          <t>Georgetown, Horry</t>
        </is>
      </c>
      <c r="K107" s="4" t="inlineStr">
        <is>
          <t>Pee Dee</t>
        </is>
      </c>
      <c r="L107" s="4" t="n">
        <v>6</v>
      </c>
      <c r="M107" s="7" t="n">
        <v>3.5</v>
      </c>
      <c r="N107" s="8" t="n">
        <v>28737</v>
      </c>
      <c r="O107" s="4" t="inlineStr">
        <is>
          <t>Long-serving</t>
        </is>
      </c>
      <c r="P107" s="4" t="inlineStr">
        <is>
          <t>Suburban</t>
        </is>
      </c>
      <c r="Q107" s="8" t="n">
        <v>40000</v>
      </c>
      <c r="R107" s="4" t="n">
        <v>5</v>
      </c>
      <c r="S107" s="4">
        <f>IF(ISNUMBER(M107), M107&lt;10, FALSE)</f>
        <v/>
      </c>
      <c r="T107" s="4">
        <f>IF(AND(F107="R", S107=TRUE), "High-D-Recruit", IF(O107="Open", "Open-Seat", IF(S107=TRUE, "Monitor", "Low")))</f>
        <v/>
      </c>
      <c r="U107" s="4">
        <f>IF(F107="R", TRUE, FALSE)</f>
        <v/>
      </c>
      <c r="V107" s="4">
        <f>IF(R107&gt;=7, "High", IF(R107&gt;=4, "Medium", "Low"))</f>
        <v/>
      </c>
    </row>
    <row r="108">
      <c r="A108" s="4" t="inlineStr">
        <is>
          <t>SC-House-107</t>
        </is>
      </c>
      <c r="B108" s="4" t="inlineStr">
        <is>
          <t>House District 107</t>
        </is>
      </c>
      <c r="C108" s="4" t="inlineStr">
        <is>
          <t>House</t>
        </is>
      </c>
      <c r="D108" s="4" t="n">
        <v>107</v>
      </c>
      <c r="E108" s="4" t="inlineStr">
        <is>
          <t>Thomas C. "Case" Brittain, Jr.</t>
        </is>
      </c>
      <c r="F108" s="4" t="inlineStr">
        <is>
          <t>R</t>
        </is>
      </c>
      <c r="G108" s="4" t="n">
        <v>2008</v>
      </c>
      <c r="H108" s="4" t="n">
        <v>2026</v>
      </c>
      <c r="I108" s="4" t="inlineStr">
        <is>
          <t>Horry</t>
        </is>
      </c>
      <c r="J108" s="4" t="inlineStr">
        <is>
          <t>Horry</t>
        </is>
      </c>
      <c r="K108" s="4" t="inlineStr">
        <is>
          <t>Pee Dee</t>
        </is>
      </c>
      <c r="L108" s="4" t="n">
        <v>9</v>
      </c>
      <c r="M108" s="7" t="n">
        <v>7.2</v>
      </c>
      <c r="N108" s="8" t="n">
        <v>33521</v>
      </c>
      <c r="O108" s="4" t="inlineStr">
        <is>
          <t>Long-serving</t>
        </is>
      </c>
      <c r="P108" s="4" t="inlineStr">
        <is>
          <t>Suburban</t>
        </is>
      </c>
      <c r="Q108" s="8" t="n">
        <v>40000</v>
      </c>
      <c r="R108" s="4" t="n">
        <v>4</v>
      </c>
      <c r="S108" s="4">
        <f>IF(ISNUMBER(M108), M108&lt;10, FALSE)</f>
        <v/>
      </c>
      <c r="T108" s="4">
        <f>IF(AND(F108="R", S108=TRUE), "High-D-Recruit", IF(O108="Open", "Open-Seat", IF(S108=TRUE, "Monitor", "Low")))</f>
        <v/>
      </c>
      <c r="U108" s="4">
        <f>IF(F108="R", TRUE, FALSE)</f>
        <v/>
      </c>
      <c r="V108" s="4">
        <f>IF(R108&gt;=7, "High", IF(R108&gt;=4, "Medium", "Low"))</f>
        <v/>
      </c>
    </row>
    <row r="109">
      <c r="A109" s="4" t="inlineStr">
        <is>
          <t>SC-House-108</t>
        </is>
      </c>
      <c r="B109" s="4" t="inlineStr">
        <is>
          <t>House District 108</t>
        </is>
      </c>
      <c r="C109" s="4" t="inlineStr">
        <is>
          <t>House</t>
        </is>
      </c>
      <c r="D109" s="4" t="n">
        <v>108</v>
      </c>
      <c r="E109" s="4" t="inlineStr">
        <is>
          <t>Lee Hewitt</t>
        </is>
      </c>
      <c r="F109" s="4" t="inlineStr">
        <is>
          <t>R</t>
        </is>
      </c>
      <c r="G109" s="4" t="n">
        <v>2010</v>
      </c>
      <c r="H109" s="4" t="n">
        <v>2026</v>
      </c>
      <c r="I109" s="4" t="inlineStr">
        <is>
          <t>Georgetown</t>
        </is>
      </c>
      <c r="J109" s="4" t="inlineStr">
        <is>
          <t>Georgetown</t>
        </is>
      </c>
      <c r="K109" s="4" t="inlineStr">
        <is>
          <t>Pee Dee</t>
        </is>
      </c>
      <c r="L109" s="4" t="n">
        <v>8</v>
      </c>
      <c r="M109" s="7" t="n">
        <v>21.2</v>
      </c>
      <c r="N109" s="8" t="n">
        <v>38468</v>
      </c>
      <c r="O109" s="4" t="inlineStr">
        <is>
          <t>Long-serving</t>
        </is>
      </c>
      <c r="P109" s="4" t="inlineStr">
        <is>
          <t>Mixed</t>
        </is>
      </c>
      <c r="Q109" s="8" t="n">
        <v>40000</v>
      </c>
      <c r="R109" s="4" t="n">
        <v>3</v>
      </c>
      <c r="S109" s="4">
        <f>IF(ISNUMBER(M109), M109&lt;10, FALSE)</f>
        <v/>
      </c>
      <c r="T109" s="4">
        <f>IF(AND(F109="R", S109=TRUE), "High-D-Recruit", IF(O109="Open", "Open-Seat", IF(S109=TRUE, "Monitor", "Low")))</f>
        <v/>
      </c>
      <c r="U109" s="4">
        <f>IF(F109="R", TRUE, FALSE)</f>
        <v/>
      </c>
      <c r="V109" s="4">
        <f>IF(R109&gt;=7, "High", IF(R109&gt;=4, "Medium", "Low"))</f>
        <v/>
      </c>
    </row>
    <row r="110">
      <c r="A110" s="4" t="inlineStr">
        <is>
          <t>SC-House-109</t>
        </is>
      </c>
      <c r="B110" s="4" t="inlineStr">
        <is>
          <t>House District 109</t>
        </is>
      </c>
      <c r="C110" s="4" t="inlineStr">
        <is>
          <t>House</t>
        </is>
      </c>
      <c r="D110" s="4" t="n">
        <v>109</v>
      </c>
      <c r="E110" s="4" t="inlineStr">
        <is>
          <t>Tiffany Spann-Wilder</t>
        </is>
      </c>
      <c r="F110" s="4" t="inlineStr">
        <is>
          <t>D</t>
        </is>
      </c>
      <c r="G110" s="4" t="n">
        <v>2016</v>
      </c>
      <c r="H110" s="4" t="n">
        <v>2026</v>
      </c>
      <c r="I110" s="4" t="inlineStr">
        <is>
          <t>Charleston</t>
        </is>
      </c>
      <c r="J110" s="4" t="inlineStr">
        <is>
          <t>Charleston</t>
        </is>
      </c>
      <c r="K110" s="4" t="inlineStr">
        <is>
          <t>Lowcountry</t>
        </is>
      </c>
      <c r="L110" s="4" t="n">
        <v>5</v>
      </c>
      <c r="M110" s="7" t="n">
        <v>12.3</v>
      </c>
      <c r="N110" s="8" t="n">
        <v>23703</v>
      </c>
      <c r="O110" s="4" t="inlineStr">
        <is>
          <t>Long-serving</t>
        </is>
      </c>
      <c r="P110" s="4" t="inlineStr">
        <is>
          <t>Urban</t>
        </is>
      </c>
      <c r="Q110" s="8" t="n">
        <v>40000</v>
      </c>
      <c r="R110" s="4" t="n">
        <v>1</v>
      </c>
      <c r="S110" s="4">
        <f>IF(ISNUMBER(M110), M110&lt;10, FALSE)</f>
        <v/>
      </c>
      <c r="T110" s="4">
        <f>IF(AND(F110="R", S110=TRUE), "High-D-Recruit", IF(O110="Open", "Open-Seat", IF(S110=TRUE, "Monitor", "Low")))</f>
        <v/>
      </c>
      <c r="U110" s="4">
        <f>IF(F110="R", TRUE, FALSE)</f>
        <v/>
      </c>
      <c r="V110" s="4">
        <f>IF(R110&gt;=7, "High", IF(R110&gt;=4, "Medium", "Low"))</f>
        <v/>
      </c>
    </row>
    <row r="111">
      <c r="A111" s="4" t="inlineStr">
        <is>
          <t>SC-House-110</t>
        </is>
      </c>
      <c r="B111" s="4" t="inlineStr">
        <is>
          <t>House District 110</t>
        </is>
      </c>
      <c r="C111" s="4" t="inlineStr">
        <is>
          <t>House</t>
        </is>
      </c>
      <c r="D111" s="4" t="n">
        <v>110</v>
      </c>
      <c r="E111" s="4" t="inlineStr">
        <is>
          <t>Thomas F. "Tom" Hartnett, Jr.</t>
        </is>
      </c>
      <c r="F111" s="4" t="inlineStr">
        <is>
          <t>R</t>
        </is>
      </c>
      <c r="G111" s="4" t="n">
        <v>2014</v>
      </c>
      <c r="H111" s="4" t="n">
        <v>2026</v>
      </c>
      <c r="I111" s="4" t="inlineStr">
        <is>
          <t>Charleston</t>
        </is>
      </c>
      <c r="J111" s="4" t="inlineStr">
        <is>
          <t>Charleston, Dorchester</t>
        </is>
      </c>
      <c r="K111" s="4" t="inlineStr">
        <is>
          <t>Lowcountry</t>
        </is>
      </c>
      <c r="L111" s="4" t="n">
        <v>6</v>
      </c>
      <c r="M111" s="7" t="n">
        <v>11</v>
      </c>
      <c r="N111" s="8" t="n">
        <v>25360</v>
      </c>
      <c r="O111" s="4" t="inlineStr">
        <is>
          <t>Long-serving</t>
        </is>
      </c>
      <c r="P111" s="4" t="inlineStr">
        <is>
          <t>Suburban</t>
        </is>
      </c>
      <c r="Q111" s="8" t="n">
        <v>40000</v>
      </c>
      <c r="R111" s="4" t="n">
        <v>3</v>
      </c>
      <c r="S111" s="4">
        <f>IF(ISNUMBER(M111), M111&lt;10, FALSE)</f>
        <v/>
      </c>
      <c r="T111" s="4">
        <f>IF(AND(F111="R", S111=TRUE), "High-D-Recruit", IF(O111="Open", "Open-Seat", IF(S111=TRUE, "Monitor", "Low")))</f>
        <v/>
      </c>
      <c r="U111" s="4">
        <f>IF(F111="R", TRUE, FALSE)</f>
        <v/>
      </c>
      <c r="V111" s="4">
        <f>IF(R111&gt;=7, "High", IF(R111&gt;=4, "Medium", "Low"))</f>
        <v/>
      </c>
    </row>
    <row r="112">
      <c r="A112" s="4" t="inlineStr">
        <is>
          <t>SC-House-111</t>
        </is>
      </c>
      <c r="B112" s="4" t="inlineStr">
        <is>
          <t>House District 111</t>
        </is>
      </c>
      <c r="C112" s="4" t="inlineStr">
        <is>
          <t>House</t>
        </is>
      </c>
      <c r="D112" s="4" t="n">
        <v>111</v>
      </c>
      <c r="E112" s="4" t="inlineStr">
        <is>
          <t>Wendell G. Gilliard</t>
        </is>
      </c>
      <c r="F112" s="4" t="inlineStr">
        <is>
          <t>D</t>
        </is>
      </c>
      <c r="G112" s="4" t="n">
        <v>2018</v>
      </c>
      <c r="H112" s="4" t="n">
        <v>2026</v>
      </c>
      <c r="I112" s="4" t="inlineStr">
        <is>
          <t>Charleston</t>
        </is>
      </c>
      <c r="J112" s="4" t="inlineStr">
        <is>
          <t>Charleston</t>
        </is>
      </c>
      <c r="K112" s="4" t="inlineStr">
        <is>
          <t>Lowcountry</t>
        </is>
      </c>
      <c r="L112" s="4" t="n">
        <v>4</v>
      </c>
      <c r="M112" s="4" t="inlineStr">
        <is>
          <t>Unopposed</t>
        </is>
      </c>
      <c r="N112" s="8" t="n">
        <v>11188</v>
      </c>
      <c r="O112" s="4" t="inlineStr">
        <is>
          <t>Veteran</t>
        </is>
      </c>
      <c r="P112" s="4" t="inlineStr">
        <is>
          <t>Urban</t>
        </is>
      </c>
      <c r="Q112" s="8" t="n">
        <v>40000</v>
      </c>
      <c r="R112" s="4" t="n">
        <v>1</v>
      </c>
      <c r="S112" s="4">
        <f>IF(ISNUMBER(M112), M112&lt;10, FALSE)</f>
        <v/>
      </c>
      <c r="T112" s="4">
        <f>IF(AND(F112="R", S112=TRUE), "High-D-Recruit", IF(O112="Open", "Open-Seat", IF(S112=TRUE, "Monitor", "Low")))</f>
        <v/>
      </c>
      <c r="U112" s="4">
        <f>IF(F112="R", TRUE, FALSE)</f>
        <v/>
      </c>
      <c r="V112" s="4">
        <f>IF(R112&gt;=7, "High", IF(R112&gt;=4, "Medium", "Low"))</f>
        <v/>
      </c>
    </row>
    <row r="113">
      <c r="A113" s="4" t="inlineStr">
        <is>
          <t>SC-House-112</t>
        </is>
      </c>
      <c r="B113" s="4" t="inlineStr">
        <is>
          <t>House District 112</t>
        </is>
      </c>
      <c r="C113" s="4" t="inlineStr">
        <is>
          <t>House</t>
        </is>
      </c>
      <c r="D113" s="4" t="n">
        <v>112</v>
      </c>
      <c r="E113" s="4" t="inlineStr">
        <is>
          <t>Joseph M. "Joe" Bustos</t>
        </is>
      </c>
      <c r="F113" s="4" t="inlineStr">
        <is>
          <t>R</t>
        </is>
      </c>
      <c r="G113" s="4" t="n">
        <v>2020</v>
      </c>
      <c r="H113" s="4" t="n">
        <v>2026</v>
      </c>
      <c r="I113" s="4" t="inlineStr">
        <is>
          <t>Charleston</t>
        </is>
      </c>
      <c r="J113" s="4" t="inlineStr">
        <is>
          <t>Charleston</t>
        </is>
      </c>
      <c r="K113" s="4" t="inlineStr">
        <is>
          <t>Lowcountry</t>
        </is>
      </c>
      <c r="L113" s="4" t="n">
        <v>3</v>
      </c>
      <c r="M113" s="7" t="n">
        <v>7.6</v>
      </c>
      <c r="N113" s="8" t="n">
        <v>35354</v>
      </c>
      <c r="O113" s="4" t="inlineStr">
        <is>
          <t>Veteran</t>
        </is>
      </c>
      <c r="P113" s="4" t="inlineStr">
        <is>
          <t>Suburban</t>
        </is>
      </c>
      <c r="Q113" s="8" t="n">
        <v>40000</v>
      </c>
      <c r="R113" s="4" t="n">
        <v>5</v>
      </c>
      <c r="S113" s="4">
        <f>IF(ISNUMBER(M113), M113&lt;10, FALSE)</f>
        <v/>
      </c>
      <c r="T113" s="4">
        <f>IF(AND(F113="R", S113=TRUE), "High-D-Recruit", IF(O113="Open", "Open-Seat", IF(S113=TRUE, "Monitor", "Low")))</f>
        <v/>
      </c>
      <c r="U113" s="4">
        <f>IF(F113="R", TRUE, FALSE)</f>
        <v/>
      </c>
      <c r="V113" s="4">
        <f>IF(R113&gt;=7, "High", IF(R113&gt;=4, "Medium", "Low"))</f>
        <v/>
      </c>
    </row>
    <row r="114">
      <c r="A114" s="4" t="inlineStr">
        <is>
          <t>SC-House-113</t>
        </is>
      </c>
      <c r="B114" s="4" t="inlineStr">
        <is>
          <t>House District 113</t>
        </is>
      </c>
      <c r="C114" s="4" t="inlineStr">
        <is>
          <t>House</t>
        </is>
      </c>
      <c r="D114" s="4" t="n">
        <v>113</v>
      </c>
      <c r="E114" s="4" t="inlineStr">
        <is>
          <t>Courtney S. Waters</t>
        </is>
      </c>
      <c r="F114" s="4" t="inlineStr">
        <is>
          <t>D</t>
        </is>
      </c>
      <c r="G114" s="4" t="n">
        <v>2016</v>
      </c>
      <c r="H114" s="4" t="n">
        <v>2026</v>
      </c>
      <c r="I114" s="4" t="inlineStr">
        <is>
          <t>Charleston</t>
        </is>
      </c>
      <c r="J114" s="4" t="inlineStr">
        <is>
          <t>Charleston</t>
        </is>
      </c>
      <c r="K114" s="4" t="inlineStr">
        <is>
          <t>Lowcountry</t>
        </is>
      </c>
      <c r="L114" s="4" t="n">
        <v>5</v>
      </c>
      <c r="M114" s="4" t="inlineStr">
        <is>
          <t>Unopposed</t>
        </is>
      </c>
      <c r="N114" s="8" t="n">
        <v>11638</v>
      </c>
      <c r="O114" s="4" t="inlineStr">
        <is>
          <t>Long-serving</t>
        </is>
      </c>
      <c r="P114" s="4" t="inlineStr">
        <is>
          <t>Urban</t>
        </is>
      </c>
      <c r="Q114" s="8" t="n">
        <v>40000</v>
      </c>
      <c r="R114" s="4" t="n">
        <v>0</v>
      </c>
      <c r="S114" s="4">
        <f>IF(ISNUMBER(M114), M114&lt;10, FALSE)</f>
        <v/>
      </c>
      <c r="T114" s="4">
        <f>IF(AND(F114="R", S114=TRUE), "High-D-Recruit", IF(O114="Open", "Open-Seat", IF(S114=TRUE, "Monitor", "Low")))</f>
        <v/>
      </c>
      <c r="U114" s="4">
        <f>IF(F114="R", TRUE, FALSE)</f>
        <v/>
      </c>
      <c r="V114" s="4">
        <f>IF(R114&gt;=7, "High", IF(R114&gt;=4, "Medium", "Low"))</f>
        <v/>
      </c>
    </row>
    <row r="115">
      <c r="A115" s="4" t="inlineStr">
        <is>
          <t>SC-House-114</t>
        </is>
      </c>
      <c r="B115" s="4" t="inlineStr">
        <is>
          <t>House District 114</t>
        </is>
      </c>
      <c r="C115" s="4" t="inlineStr">
        <is>
          <t>House</t>
        </is>
      </c>
      <c r="D115" s="4" t="n">
        <v>114</v>
      </c>
      <c r="E115" s="4" t="inlineStr">
        <is>
          <t>Gary S. Brewer, Jr.</t>
        </is>
      </c>
      <c r="F115" s="4" t="inlineStr">
        <is>
          <t>R</t>
        </is>
      </c>
      <c r="G115" s="4" t="n">
        <v>2010</v>
      </c>
      <c r="H115" s="4" t="n">
        <v>2026</v>
      </c>
      <c r="I115" s="4" t="inlineStr">
        <is>
          <t>Berkeley</t>
        </is>
      </c>
      <c r="J115" s="4" t="inlineStr">
        <is>
          <t>Berkeley</t>
        </is>
      </c>
      <c r="K115" s="4" t="inlineStr">
        <is>
          <t>Lowcountry</t>
        </is>
      </c>
      <c r="L115" s="4" t="n">
        <v>8</v>
      </c>
      <c r="M115" s="7" t="n">
        <v>16.8</v>
      </c>
      <c r="N115" s="8" t="n">
        <v>26436</v>
      </c>
      <c r="O115" s="4" t="inlineStr">
        <is>
          <t>Long-serving</t>
        </is>
      </c>
      <c r="P115" s="4" t="inlineStr">
        <is>
          <t>Suburban</t>
        </is>
      </c>
      <c r="Q115" s="8" t="n">
        <v>40000</v>
      </c>
      <c r="R115" s="4" t="n">
        <v>3</v>
      </c>
      <c r="S115" s="4">
        <f>IF(ISNUMBER(M115), M115&lt;10, FALSE)</f>
        <v/>
      </c>
      <c r="T115" s="4">
        <f>IF(AND(F115="R", S115=TRUE), "High-D-Recruit", IF(O115="Open", "Open-Seat", IF(S115=TRUE, "Monitor", "Low")))</f>
        <v/>
      </c>
      <c r="U115" s="4">
        <f>IF(F115="R", TRUE, FALSE)</f>
        <v/>
      </c>
      <c r="V115" s="4">
        <f>IF(R115&gt;=7, "High", IF(R115&gt;=4, "Medium", "Low"))</f>
        <v/>
      </c>
    </row>
    <row r="116">
      <c r="A116" s="4" t="inlineStr">
        <is>
          <t>SC-House-115</t>
        </is>
      </c>
      <c r="B116" s="4" t="inlineStr">
        <is>
          <t>House District 115</t>
        </is>
      </c>
      <c r="C116" s="4" t="inlineStr">
        <is>
          <t>House</t>
        </is>
      </c>
      <c r="D116" s="4" t="n">
        <v>115</v>
      </c>
      <c r="E116" s="4" t="inlineStr">
        <is>
          <t>Elizabeth "Spencer" Wetmore</t>
        </is>
      </c>
      <c r="F116" s="4" t="inlineStr">
        <is>
          <t>D</t>
        </is>
      </c>
      <c r="G116" s="4" t="n">
        <v>2022</v>
      </c>
      <c r="H116" s="4" t="n">
        <v>2026</v>
      </c>
      <c r="I116" s="4" t="inlineStr">
        <is>
          <t>Charleston</t>
        </is>
      </c>
      <c r="J116" s="4" t="inlineStr">
        <is>
          <t>Charleston</t>
        </is>
      </c>
      <c r="K116" s="4" t="inlineStr">
        <is>
          <t>Lowcountry</t>
        </is>
      </c>
      <c r="L116" s="4" t="n">
        <v>2</v>
      </c>
      <c r="M116" s="4" t="inlineStr">
        <is>
          <t>Unopposed</t>
        </is>
      </c>
      <c r="N116" s="8" t="n">
        <v>24405</v>
      </c>
      <c r="O116" s="4" t="inlineStr">
        <is>
          <t>Veteran</t>
        </is>
      </c>
      <c r="P116" s="4" t="inlineStr">
        <is>
          <t>Urban</t>
        </is>
      </c>
      <c r="Q116" s="8" t="n">
        <v>40000</v>
      </c>
      <c r="R116" s="4" t="n">
        <v>1</v>
      </c>
      <c r="S116" s="4">
        <f>IF(ISNUMBER(M116), M116&lt;10, FALSE)</f>
        <v/>
      </c>
      <c r="T116" s="4">
        <f>IF(AND(F116="R", S116=TRUE), "High-D-Recruit", IF(O116="Open", "Open-Seat", IF(S116=TRUE, "Monitor", "Low")))</f>
        <v/>
      </c>
      <c r="U116" s="4">
        <f>IF(F116="R", TRUE, FALSE)</f>
        <v/>
      </c>
      <c r="V116" s="4">
        <f>IF(R116&gt;=7, "High", IF(R116&gt;=4, "Medium", "Low"))</f>
        <v/>
      </c>
    </row>
    <row r="117">
      <c r="A117" s="4" t="inlineStr">
        <is>
          <t>SC-House-116</t>
        </is>
      </c>
      <c r="B117" s="4" t="inlineStr">
        <is>
          <t>House District 116</t>
        </is>
      </c>
      <c r="C117" s="4" t="inlineStr">
        <is>
          <t>House</t>
        </is>
      </c>
      <c r="D117" s="4" t="n">
        <v>116</v>
      </c>
      <c r="E117" s="4" t="inlineStr">
        <is>
          <t>James E. Teeple</t>
        </is>
      </c>
      <c r="F117" s="4" t="inlineStr">
        <is>
          <t>R</t>
        </is>
      </c>
      <c r="G117" s="4" t="n">
        <v>2014</v>
      </c>
      <c r="H117" s="4" t="n">
        <v>2026</v>
      </c>
      <c r="I117" s="4" t="inlineStr">
        <is>
          <t>Berkeley</t>
        </is>
      </c>
      <c r="J117" s="4" t="inlineStr">
        <is>
          <t>Berkeley</t>
        </is>
      </c>
      <c r="K117" s="4" t="inlineStr">
        <is>
          <t>Lowcountry</t>
        </is>
      </c>
      <c r="L117" s="4" t="n">
        <v>6</v>
      </c>
      <c r="M117" s="7" t="n">
        <v>22.6</v>
      </c>
      <c r="N117" s="8" t="n">
        <v>24338</v>
      </c>
      <c r="O117" s="4" t="inlineStr">
        <is>
          <t>Long-serving</t>
        </is>
      </c>
      <c r="P117" s="4" t="inlineStr">
        <is>
          <t>Suburban</t>
        </is>
      </c>
      <c r="Q117" s="8" t="n">
        <v>40000</v>
      </c>
      <c r="R117" s="4" t="n">
        <v>3</v>
      </c>
      <c r="S117" s="4">
        <f>IF(ISNUMBER(M117), M117&lt;10, FALSE)</f>
        <v/>
      </c>
      <c r="T117" s="4">
        <f>IF(AND(F117="R", S117=TRUE), "High-D-Recruit", IF(O117="Open", "Open-Seat", IF(S117=TRUE, "Monitor", "Low")))</f>
        <v/>
      </c>
      <c r="U117" s="4">
        <f>IF(F117="R", TRUE, FALSE)</f>
        <v/>
      </c>
      <c r="V117" s="4">
        <f>IF(R117&gt;=7, "High", IF(R117&gt;=4, "Medium", "Low"))</f>
        <v/>
      </c>
    </row>
    <row r="118">
      <c r="A118" s="4" t="inlineStr">
        <is>
          <t>SC-House-117</t>
        </is>
      </c>
      <c r="B118" s="4" t="inlineStr">
        <is>
          <t>House District 117</t>
        </is>
      </c>
      <c r="C118" s="4" t="inlineStr">
        <is>
          <t>House</t>
        </is>
      </c>
      <c r="D118" s="4" t="n">
        <v>117</v>
      </c>
      <c r="E118" s="4" t="inlineStr">
        <is>
          <t>Jordan S. Pace</t>
        </is>
      </c>
      <c r="F118" s="4" t="inlineStr">
        <is>
          <t>R</t>
        </is>
      </c>
      <c r="G118" s="4" t="n">
        <v>2012</v>
      </c>
      <c r="H118" s="4" t="n">
        <v>2026</v>
      </c>
      <c r="I118" s="4" t="inlineStr">
        <is>
          <t>Beaufort</t>
        </is>
      </c>
      <c r="J118" s="4" t="inlineStr">
        <is>
          <t>Beaufort</t>
        </is>
      </c>
      <c r="K118" s="4" t="inlineStr">
        <is>
          <t>Lowcountry</t>
        </is>
      </c>
      <c r="L118" s="4" t="n">
        <v>7</v>
      </c>
      <c r="M118" s="7" t="n">
        <v>22.8</v>
      </c>
      <c r="N118" s="8" t="n">
        <v>35043</v>
      </c>
      <c r="O118" s="4" t="inlineStr">
        <is>
          <t>Long-serving</t>
        </is>
      </c>
      <c r="P118" s="4" t="inlineStr">
        <is>
          <t>Suburban</t>
        </is>
      </c>
      <c r="Q118" s="8" t="n">
        <v>40000</v>
      </c>
      <c r="R118" s="4" t="n">
        <v>3</v>
      </c>
      <c r="S118" s="4">
        <f>IF(ISNUMBER(M118), M118&lt;10, FALSE)</f>
        <v/>
      </c>
      <c r="T118" s="4">
        <f>IF(AND(F118="R", S118=TRUE), "High-D-Recruit", IF(O118="Open", "Open-Seat", IF(S118=TRUE, "Monitor", "Low")))</f>
        <v/>
      </c>
      <c r="U118" s="4">
        <f>IF(F118="R", TRUE, FALSE)</f>
        <v/>
      </c>
      <c r="V118" s="4">
        <f>IF(R118&gt;=7, "High", IF(R118&gt;=4, "Medium", "Low"))</f>
        <v/>
      </c>
    </row>
    <row r="119">
      <c r="A119" s="4" t="inlineStr">
        <is>
          <t>SC-House-118</t>
        </is>
      </c>
      <c r="B119" s="4" t="inlineStr">
        <is>
          <t>House District 118</t>
        </is>
      </c>
      <c r="C119" s="4" t="inlineStr">
        <is>
          <t>House</t>
        </is>
      </c>
      <c r="D119" s="4" t="n">
        <v>118</v>
      </c>
      <c r="E119" s="4" t="inlineStr">
        <is>
          <t>William G. "Bill" Herbkersman</t>
        </is>
      </c>
      <c r="F119" s="4" t="inlineStr">
        <is>
          <t>R</t>
        </is>
      </c>
      <c r="G119" s="4" t="n">
        <v>2022</v>
      </c>
      <c r="H119" s="4" t="n">
        <v>2026</v>
      </c>
      <c r="I119" s="4" t="inlineStr">
        <is>
          <t>Beaufort</t>
        </is>
      </c>
      <c r="J119" s="4" t="inlineStr">
        <is>
          <t>Beaufort</t>
        </is>
      </c>
      <c r="K119" s="4" t="inlineStr">
        <is>
          <t>Lowcountry</t>
        </is>
      </c>
      <c r="L119" s="4" t="n">
        <v>2</v>
      </c>
      <c r="M119" s="4" t="inlineStr">
        <is>
          <t>Unopposed</t>
        </is>
      </c>
      <c r="N119" s="8" t="n">
        <v>23223</v>
      </c>
      <c r="O119" s="4" t="inlineStr">
        <is>
          <t>Veteran</t>
        </is>
      </c>
      <c r="P119" s="4" t="inlineStr">
        <is>
          <t>Suburban</t>
        </is>
      </c>
      <c r="Q119" s="8" t="n">
        <v>40000</v>
      </c>
      <c r="R119" s="4" t="n">
        <v>3</v>
      </c>
      <c r="S119" s="4">
        <f>IF(ISNUMBER(M119), M119&lt;10, FALSE)</f>
        <v/>
      </c>
      <c r="T119" s="4">
        <f>IF(AND(F119="R", S119=TRUE), "High-D-Recruit", IF(O119="Open", "Open-Seat", IF(S119=TRUE, "Monitor", "Low")))</f>
        <v/>
      </c>
      <c r="U119" s="4">
        <f>IF(F119="R", TRUE, FALSE)</f>
        <v/>
      </c>
      <c r="V119" s="4">
        <f>IF(R119&gt;=7, "High", IF(R119&gt;=4, "Medium", "Low"))</f>
        <v/>
      </c>
    </row>
    <row r="120">
      <c r="A120" s="4" t="inlineStr">
        <is>
          <t>SC-House-119</t>
        </is>
      </c>
      <c r="B120" s="4" t="inlineStr">
        <is>
          <t>House District 119</t>
        </is>
      </c>
      <c r="C120" s="4" t="inlineStr">
        <is>
          <t>House</t>
        </is>
      </c>
      <c r="D120" s="4" t="n">
        <v>119</v>
      </c>
      <c r="E120" s="4" t="inlineStr">
        <is>
          <t>Leonidas E. "Leon" Stavrinakis</t>
        </is>
      </c>
      <c r="F120" s="4" t="inlineStr">
        <is>
          <t>D</t>
        </is>
      </c>
      <c r="G120" s="4" t="n">
        <v>2020</v>
      </c>
      <c r="H120" s="4" t="n">
        <v>2026</v>
      </c>
      <c r="I120" s="4" t="inlineStr">
        <is>
          <t>Charleston</t>
        </is>
      </c>
      <c r="J120" s="4" t="inlineStr">
        <is>
          <t>Charleston</t>
        </is>
      </c>
      <c r="K120" s="4" t="inlineStr">
        <is>
          <t>Lowcountry</t>
        </is>
      </c>
      <c r="L120" s="4" t="n">
        <v>3</v>
      </c>
      <c r="M120" s="7" t="n">
        <v>1.5</v>
      </c>
      <c r="N120" s="8" t="n">
        <v>15256</v>
      </c>
      <c r="O120" s="4" t="inlineStr">
        <is>
          <t>Veteran</t>
        </is>
      </c>
      <c r="P120" s="4" t="inlineStr">
        <is>
          <t>Urban</t>
        </is>
      </c>
      <c r="Q120" s="8" t="n">
        <v>40000</v>
      </c>
      <c r="R120" s="4" t="n">
        <v>4</v>
      </c>
      <c r="S120" s="4">
        <f>IF(ISNUMBER(M120), M120&lt;10, FALSE)</f>
        <v/>
      </c>
      <c r="T120" s="4">
        <f>IF(AND(F120="R", S120=TRUE), "High-D-Recruit", IF(O120="Open", "Open-Seat", IF(S120=TRUE, "Monitor", "Low")))</f>
        <v/>
      </c>
      <c r="U120" s="4">
        <f>IF(F120="R", TRUE, FALSE)</f>
        <v/>
      </c>
      <c r="V120" s="4">
        <f>IF(R120&gt;=7, "High", IF(R120&gt;=4, "Medium", "Low"))</f>
        <v/>
      </c>
    </row>
    <row r="121">
      <c r="A121" s="4" t="inlineStr">
        <is>
          <t>SC-House-120</t>
        </is>
      </c>
      <c r="B121" s="4" t="inlineStr">
        <is>
          <t>House District 120</t>
        </is>
      </c>
      <c r="C121" s="4" t="inlineStr">
        <is>
          <t>House</t>
        </is>
      </c>
      <c r="D121" s="4" t="n">
        <v>120</v>
      </c>
      <c r="E121" s="4" t="inlineStr">
        <is>
          <t>Wm. Weston J. Newton</t>
        </is>
      </c>
      <c r="F121" s="4" t="inlineStr">
        <is>
          <t>R</t>
        </is>
      </c>
      <c r="G121" s="4" t="n">
        <v>2024</v>
      </c>
      <c r="H121" s="4" t="n">
        <v>2026</v>
      </c>
      <c r="I121" s="4" t="inlineStr">
        <is>
          <t>Beaufort</t>
        </is>
      </c>
      <c r="J121" s="4" t="inlineStr">
        <is>
          <t>Beaufort</t>
        </is>
      </c>
      <c r="K121" s="4" t="inlineStr">
        <is>
          <t>Lowcountry</t>
        </is>
      </c>
      <c r="L121" s="4" t="n">
        <v>1</v>
      </c>
      <c r="M121" s="7" t="n">
        <v>6.8</v>
      </c>
      <c r="N121" s="8" t="n">
        <v>18394</v>
      </c>
      <c r="O121" s="4" t="inlineStr">
        <is>
          <t>First-term</t>
        </is>
      </c>
      <c r="P121" s="4" t="inlineStr">
        <is>
          <t>Suburban</t>
        </is>
      </c>
      <c r="Q121" s="8" t="n">
        <v>40000</v>
      </c>
      <c r="R121" s="4" t="n">
        <v>6</v>
      </c>
      <c r="S121" s="4">
        <f>IF(ISNUMBER(M121), M121&lt;10, FALSE)</f>
        <v/>
      </c>
      <c r="T121" s="4">
        <f>IF(AND(F121="R", S121=TRUE), "High-D-Recruit", IF(O121="Open", "Open-Seat", IF(S121=TRUE, "Monitor", "Low")))</f>
        <v/>
      </c>
      <c r="U121" s="4">
        <f>IF(F121="R", TRUE, FALSE)</f>
        <v/>
      </c>
      <c r="V121" s="4">
        <f>IF(R121&gt;=7, "High", IF(R121&gt;=4, "Medium", "Low"))</f>
        <v/>
      </c>
    </row>
    <row r="122">
      <c r="A122" s="4" t="inlineStr">
        <is>
          <t>SC-House-121</t>
        </is>
      </c>
      <c r="B122" s="4" t="inlineStr">
        <is>
          <t>House District 121</t>
        </is>
      </c>
      <c r="C122" s="4" t="inlineStr">
        <is>
          <t>House</t>
        </is>
      </c>
      <c r="D122" s="4" t="n">
        <v>121</v>
      </c>
      <c r="E122" s="4" t="inlineStr">
        <is>
          <t>Michael F. Rivers, Sr.</t>
        </is>
      </c>
      <c r="F122" s="4" t="inlineStr">
        <is>
          <t>D</t>
        </is>
      </c>
      <c r="G122" s="4" t="n">
        <v>2024</v>
      </c>
      <c r="H122" s="4" t="n">
        <v>2026</v>
      </c>
      <c r="I122" s="4" t="inlineStr">
        <is>
          <t>Beaufort</t>
        </is>
      </c>
      <c r="J122" s="4" t="inlineStr">
        <is>
          <t>Beaufort, Jasper</t>
        </is>
      </c>
      <c r="K122" s="4" t="inlineStr">
        <is>
          <t>Lowcountry</t>
        </is>
      </c>
      <c r="L122" s="4" t="n">
        <v>1</v>
      </c>
      <c r="M122" s="4" t="inlineStr">
        <is>
          <t>Unopposed</t>
        </is>
      </c>
      <c r="N122" s="8" t="n">
        <v>12200</v>
      </c>
      <c r="O122" s="4" t="inlineStr">
        <is>
          <t>First-term</t>
        </is>
      </c>
      <c r="P122" s="4" t="inlineStr">
        <is>
          <t>Mixed</t>
        </is>
      </c>
      <c r="Q122" s="8" t="n">
        <v>40000</v>
      </c>
      <c r="R122" s="4" t="n">
        <v>2</v>
      </c>
      <c r="S122" s="4">
        <f>IF(ISNUMBER(M122), M122&lt;10, FALSE)</f>
        <v/>
      </c>
      <c r="T122" s="4">
        <f>IF(AND(F122="R", S122=TRUE), "High-D-Recruit", IF(O122="Open", "Open-Seat", IF(S122=TRUE, "Monitor", "Low")))</f>
        <v/>
      </c>
      <c r="U122" s="4">
        <f>IF(F122="R", TRUE, FALSE)</f>
        <v/>
      </c>
      <c r="V122" s="4">
        <f>IF(R122&gt;=7, "High", IF(R122&gt;=4, "Medium", "Low"))</f>
        <v/>
      </c>
    </row>
    <row r="123">
      <c r="A123" s="4" t="inlineStr">
        <is>
          <t>SC-House-122</t>
        </is>
      </c>
      <c r="B123" s="4" t="inlineStr">
        <is>
          <t>House District 122</t>
        </is>
      </c>
      <c r="C123" s="4" t="inlineStr">
        <is>
          <t>House</t>
        </is>
      </c>
      <c r="D123" s="4" t="n">
        <v>122</v>
      </c>
      <c r="E123" s="4" t="inlineStr">
        <is>
          <t>William "Bill" Hager</t>
        </is>
      </c>
      <c r="F123" s="4" t="inlineStr">
        <is>
          <t>R</t>
        </is>
      </c>
      <c r="G123" s="4" t="n">
        <v>2018</v>
      </c>
      <c r="H123" s="4" t="n">
        <v>2026</v>
      </c>
      <c r="I123" s="4" t="inlineStr">
        <is>
          <t>Colleton</t>
        </is>
      </c>
      <c r="J123" s="4" t="inlineStr">
        <is>
          <t>Colleton, Beaufort, Hampton</t>
        </is>
      </c>
      <c r="K123" s="4" t="inlineStr">
        <is>
          <t>Lowcountry</t>
        </is>
      </c>
      <c r="L123" s="4" t="n">
        <v>4</v>
      </c>
      <c r="M123" s="7" t="n">
        <v>7.2</v>
      </c>
      <c r="N123" s="8" t="n">
        <v>18507</v>
      </c>
      <c r="O123" s="4" t="inlineStr">
        <is>
          <t>Veteran</t>
        </is>
      </c>
      <c r="P123" s="4" t="inlineStr">
        <is>
          <t>Rural</t>
        </is>
      </c>
      <c r="Q123" s="8" t="n">
        <v>40000</v>
      </c>
      <c r="R123" s="4" t="n">
        <v>5</v>
      </c>
      <c r="S123" s="4">
        <f>IF(ISNUMBER(M123), M123&lt;10, FALSE)</f>
        <v/>
      </c>
      <c r="T123" s="4">
        <f>IF(AND(F123="R", S123=TRUE), "High-D-Recruit", IF(O123="Open", "Open-Seat", IF(S123=TRUE, "Monitor", "Low")))</f>
        <v/>
      </c>
      <c r="U123" s="4">
        <f>IF(F123="R", TRUE, FALSE)</f>
        <v/>
      </c>
      <c r="V123" s="4">
        <f>IF(R123&gt;=7, "High", IF(R123&gt;=4, "Medium", "Low"))</f>
        <v/>
      </c>
    </row>
    <row r="124">
      <c r="A124" s="4" t="inlineStr">
        <is>
          <t>SC-House-123</t>
        </is>
      </c>
      <c r="B124" s="4" t="inlineStr">
        <is>
          <t>House District 123</t>
        </is>
      </c>
      <c r="C124" s="4" t="inlineStr">
        <is>
          <t>House</t>
        </is>
      </c>
      <c r="D124" s="4" t="n">
        <v>123</v>
      </c>
      <c r="E124" s="4" t="inlineStr">
        <is>
          <t>Jeffrey A. "Jeff" Bradley</t>
        </is>
      </c>
      <c r="F124" s="4" t="inlineStr">
        <is>
          <t>R</t>
        </is>
      </c>
      <c r="G124" s="4" t="n">
        <v>2008</v>
      </c>
      <c r="H124" s="4" t="n">
        <v>2026</v>
      </c>
      <c r="I124" s="4" t="inlineStr">
        <is>
          <t>Dorchester</t>
        </is>
      </c>
      <c r="J124" s="4" t="inlineStr">
        <is>
          <t>Dorchester</t>
        </is>
      </c>
      <c r="K124" s="4" t="inlineStr">
        <is>
          <t>Lowcountry</t>
        </is>
      </c>
      <c r="L124" s="4" t="n">
        <v>9</v>
      </c>
      <c r="M124" s="4" t="inlineStr">
        <is>
          <t>Unopposed</t>
        </is>
      </c>
      <c r="N124" s="8" t="n">
        <v>12546</v>
      </c>
      <c r="O124" s="4" t="inlineStr">
        <is>
          <t>Long-serving</t>
        </is>
      </c>
      <c r="P124" s="4" t="inlineStr">
        <is>
          <t>Suburban</t>
        </is>
      </c>
      <c r="Q124" s="8" t="n">
        <v>40000</v>
      </c>
      <c r="R124" s="4" t="n">
        <v>2</v>
      </c>
      <c r="S124" s="4">
        <f>IF(ISNUMBER(M124), M124&lt;10, FALSE)</f>
        <v/>
      </c>
      <c r="T124" s="4">
        <f>IF(AND(F124="R", S124=TRUE), "High-D-Recruit", IF(O124="Open", "Open-Seat", IF(S124=TRUE, "Monitor", "Low")))</f>
        <v/>
      </c>
      <c r="U124" s="4">
        <f>IF(F124="R", TRUE, FALSE)</f>
        <v/>
      </c>
      <c r="V124" s="4">
        <f>IF(R124&gt;=7, "High", IF(R124&gt;=4, "Medium", "Low"))</f>
        <v/>
      </c>
    </row>
    <row r="125">
      <c r="A125" s="4" t="inlineStr">
        <is>
          <t>SC-House-124</t>
        </is>
      </c>
      <c r="B125" s="4" t="inlineStr">
        <is>
          <t>House District 124</t>
        </is>
      </c>
      <c r="C125" s="4" t="inlineStr">
        <is>
          <t>House</t>
        </is>
      </c>
      <c r="D125" s="4" t="n">
        <v>124</v>
      </c>
      <c r="E125" s="4" t="inlineStr">
        <is>
          <t>Shannon S. Erickson</t>
        </is>
      </c>
      <c r="F125" s="4" t="inlineStr">
        <is>
          <t>R</t>
        </is>
      </c>
      <c r="G125" s="4" t="n">
        <v>2022</v>
      </c>
      <c r="H125" s="4" t="n">
        <v>2026</v>
      </c>
      <c r="I125" s="4" t="inlineStr">
        <is>
          <t>Beaufort</t>
        </is>
      </c>
      <c r="J125" s="4" t="inlineStr">
        <is>
          <t>Beaufort</t>
        </is>
      </c>
      <c r="K125" s="4" t="inlineStr">
        <is>
          <t>Lowcountry</t>
        </is>
      </c>
      <c r="L125" s="4" t="n">
        <v>2</v>
      </c>
      <c r="M125" s="7" t="n">
        <v>2.4</v>
      </c>
      <c r="N125" s="8" t="n">
        <v>21671</v>
      </c>
      <c r="O125" s="4" t="inlineStr">
        <is>
          <t>Veteran</t>
        </is>
      </c>
      <c r="P125" s="4" t="inlineStr">
        <is>
          <t>Suburban</t>
        </is>
      </c>
      <c r="Q125" s="8" t="n">
        <v>40000</v>
      </c>
      <c r="R125" s="4" t="n">
        <v>6</v>
      </c>
      <c r="S125" s="4">
        <f>IF(ISNUMBER(M125), M125&lt;10, FALSE)</f>
        <v/>
      </c>
      <c r="T125" s="4">
        <f>IF(AND(F125="R", S125=TRUE), "High-D-Recruit", IF(O125="Open", "Open-Seat", IF(S125=TRUE, "Monitor", "Low")))</f>
        <v/>
      </c>
      <c r="U125" s="4">
        <f>IF(F125="R", TRUE, FALSE)</f>
        <v/>
      </c>
      <c r="V125" s="4">
        <f>IF(R125&gt;=7, "High", IF(R125&gt;=4, "Medium", "Low"))</f>
        <v/>
      </c>
    </row>
    <row r="126">
      <c r="A126" s="4" t="inlineStr">
        <is>
          <t>SC-Senate-001</t>
        </is>
      </c>
      <c r="B126" s="4" t="inlineStr">
        <is>
          <t>Senate District 1</t>
        </is>
      </c>
      <c r="C126" s="4" t="inlineStr">
        <is>
          <t>Senate</t>
        </is>
      </c>
      <c r="D126" s="4" t="n">
        <v>1</v>
      </c>
      <c r="E126" s="4" t="inlineStr">
        <is>
          <t>Thomas C. Alexander</t>
        </is>
      </c>
      <c r="F126" s="4" t="inlineStr">
        <is>
          <t>R</t>
        </is>
      </c>
      <c r="G126" s="4" t="n">
        <v>2014</v>
      </c>
      <c r="H126" s="4" t="n">
        <v>2028</v>
      </c>
      <c r="I126" s="4" t="inlineStr">
        <is>
          <t>Oconee</t>
        </is>
      </c>
      <c r="J126" s="4" t="inlineStr">
        <is>
          <t>Oconee, Pickens</t>
        </is>
      </c>
      <c r="K126" s="4" t="inlineStr">
        <is>
          <t>Upstate</t>
        </is>
      </c>
      <c r="L126" s="4" t="n">
        <v>3</v>
      </c>
      <c r="M126" s="4" t="inlineStr">
        <is>
          <t>Unopposed</t>
        </is>
      </c>
      <c r="N126" s="8" t="n">
        <v>57948</v>
      </c>
      <c r="O126" s="4" t="inlineStr">
        <is>
          <t>Veteran</t>
        </is>
      </c>
      <c r="P126" s="4" t="inlineStr">
        <is>
          <t>Rural</t>
        </is>
      </c>
      <c r="Q126" s="8" t="n">
        <v>105000</v>
      </c>
      <c r="R126" s="4" t="n">
        <v>3</v>
      </c>
      <c r="S126" s="4">
        <f>IF(ISNUMBER(M126), M126&lt;10, FALSE)</f>
        <v/>
      </c>
      <c r="T126" s="4">
        <f>IF(AND(F126="R", S126=TRUE), "High-D-Recruit", IF(O126="Open", "Open-Seat", IF(S126=TRUE, "Monitor", "Low")))</f>
        <v/>
      </c>
      <c r="U126" s="4">
        <f>IF(F126="R", TRUE, FALSE)</f>
        <v/>
      </c>
      <c r="V126" s="4">
        <f>IF(R126&gt;=7, "High", IF(R126&gt;=4, "Medium", "Low"))</f>
        <v/>
      </c>
    </row>
    <row r="127">
      <c r="A127" s="4" t="inlineStr">
        <is>
          <t>SC-Senate-002</t>
        </is>
      </c>
      <c r="B127" s="4" t="inlineStr">
        <is>
          <t>Senate District 2</t>
        </is>
      </c>
      <c r="C127" s="4" t="inlineStr">
        <is>
          <t>Senate</t>
        </is>
      </c>
      <c r="D127" s="4" t="n">
        <v>2</v>
      </c>
      <c r="E127" s="4" t="inlineStr">
        <is>
          <t>Rex F. Rice</t>
        </is>
      </c>
      <c r="F127" s="4" t="inlineStr">
        <is>
          <t>R</t>
        </is>
      </c>
      <c r="G127" s="4" t="n">
        <v>2014</v>
      </c>
      <c r="H127" s="4" t="n">
        <v>2026</v>
      </c>
      <c r="I127" s="4" t="inlineStr">
        <is>
          <t>Pickens</t>
        </is>
      </c>
      <c r="J127" s="4" t="inlineStr">
        <is>
          <t>Pickens, Anderson</t>
        </is>
      </c>
      <c r="K127" s="4" t="inlineStr">
        <is>
          <t>Upstate</t>
        </is>
      </c>
      <c r="L127" s="4" t="n">
        <v>3</v>
      </c>
      <c r="M127" s="7" t="n">
        <v>3.2</v>
      </c>
      <c r="N127" s="8" t="n">
        <v>67016</v>
      </c>
      <c r="O127" s="4" t="inlineStr">
        <is>
          <t>Veteran</t>
        </is>
      </c>
      <c r="P127" s="4" t="inlineStr">
        <is>
          <t>Mixed</t>
        </is>
      </c>
      <c r="Q127" s="8" t="n">
        <v>105000</v>
      </c>
      <c r="R127" s="4" t="n">
        <v>6</v>
      </c>
      <c r="S127" s="4">
        <f>IF(ISNUMBER(M127), M127&lt;10, FALSE)</f>
        <v/>
      </c>
      <c r="T127" s="4">
        <f>IF(AND(F127="R", S127=TRUE), "High-D-Recruit", IF(O127="Open", "Open-Seat", IF(S127=TRUE, "Monitor", "Low")))</f>
        <v/>
      </c>
      <c r="U127" s="4">
        <f>IF(F127="R", TRUE, FALSE)</f>
        <v/>
      </c>
      <c r="V127" s="4">
        <f>IF(R127&gt;=7, "High", IF(R127&gt;=4, "Medium", "Low"))</f>
        <v/>
      </c>
    </row>
    <row r="128">
      <c r="A128" s="4" t="inlineStr">
        <is>
          <t>SC-Senate-003</t>
        </is>
      </c>
      <c r="B128" s="4" t="inlineStr">
        <is>
          <t>Senate District 3</t>
        </is>
      </c>
      <c r="C128" s="4" t="inlineStr">
        <is>
          <t>Senate</t>
        </is>
      </c>
      <c r="D128" s="4" t="n">
        <v>3</v>
      </c>
      <c r="E128" s="4" t="inlineStr">
        <is>
          <t>Richard J. Cash</t>
        </is>
      </c>
      <c r="F128" s="4" t="inlineStr">
        <is>
          <t>R</t>
        </is>
      </c>
      <c r="G128" s="4" t="n">
        <v>2022</v>
      </c>
      <c r="H128" s="4" t="n">
        <v>2028</v>
      </c>
      <c r="I128" s="4" t="inlineStr">
        <is>
          <t>Anderson</t>
        </is>
      </c>
      <c r="J128" s="4" t="inlineStr">
        <is>
          <t>Anderson</t>
        </is>
      </c>
      <c r="K128" s="4" t="inlineStr">
        <is>
          <t>Upstate</t>
        </is>
      </c>
      <c r="L128" s="4" t="n">
        <v>1</v>
      </c>
      <c r="M128" s="7" t="n">
        <v>14.4</v>
      </c>
      <c r="N128" s="8" t="n">
        <v>62759</v>
      </c>
      <c r="O128" s="4" t="inlineStr">
        <is>
          <t>First-term</t>
        </is>
      </c>
      <c r="P128" s="4" t="inlineStr">
        <is>
          <t>Mixed</t>
        </is>
      </c>
      <c r="Q128" s="8" t="n">
        <v>105000</v>
      </c>
      <c r="R128" s="4" t="n">
        <v>5</v>
      </c>
      <c r="S128" s="4">
        <f>IF(ISNUMBER(M128), M128&lt;10, FALSE)</f>
        <v/>
      </c>
      <c r="T128" s="4">
        <f>IF(AND(F128="R", S128=TRUE), "High-D-Recruit", IF(O128="Open", "Open-Seat", IF(S128=TRUE, "Monitor", "Low")))</f>
        <v/>
      </c>
      <c r="U128" s="4">
        <f>IF(F128="R", TRUE, FALSE)</f>
        <v/>
      </c>
      <c r="V128" s="4">
        <f>IF(R128&gt;=7, "High", IF(R128&gt;=4, "Medium", "Low"))</f>
        <v/>
      </c>
    </row>
    <row r="129">
      <c r="A129" s="4" t="inlineStr">
        <is>
          <t>SC-Senate-004</t>
        </is>
      </c>
      <c r="B129" s="4" t="inlineStr">
        <is>
          <t>Senate District 4</t>
        </is>
      </c>
      <c r="C129" s="4" t="inlineStr">
        <is>
          <t>Senate</t>
        </is>
      </c>
      <c r="D129" s="4" t="n">
        <v>4</v>
      </c>
      <c r="E129" s="4" t="inlineStr">
        <is>
          <t>Michael W. Gambrell</t>
        </is>
      </c>
      <c r="F129" s="4" t="inlineStr">
        <is>
          <t>R</t>
        </is>
      </c>
      <c r="G129" s="4" t="n">
        <v>2000</v>
      </c>
      <c r="H129" s="4" t="n">
        <v>2026</v>
      </c>
      <c r="I129" s="4" t="inlineStr">
        <is>
          <t>Anderson</t>
        </is>
      </c>
      <c r="J129" s="4" t="inlineStr">
        <is>
          <t>Anderson, Abbeville</t>
        </is>
      </c>
      <c r="K129" s="4" t="inlineStr">
        <is>
          <t>Upstate</t>
        </is>
      </c>
      <c r="L129" s="4" t="n">
        <v>6</v>
      </c>
      <c r="M129" s="4" t="inlineStr">
        <is>
          <t>Unopposed</t>
        </is>
      </c>
      <c r="N129" s="8" t="n">
        <v>31444</v>
      </c>
      <c r="O129" s="4" t="inlineStr">
        <is>
          <t>Long-serving</t>
        </is>
      </c>
      <c r="P129" s="4" t="inlineStr">
        <is>
          <t>Rural</t>
        </is>
      </c>
      <c r="Q129" s="8" t="n">
        <v>105000</v>
      </c>
      <c r="R129" s="4" t="n">
        <v>2</v>
      </c>
      <c r="S129" s="4">
        <f>IF(ISNUMBER(M129), M129&lt;10, FALSE)</f>
        <v/>
      </c>
      <c r="T129" s="4">
        <f>IF(AND(F129="R", S129=TRUE), "High-D-Recruit", IF(O129="Open", "Open-Seat", IF(S129=TRUE, "Monitor", "Low")))</f>
        <v/>
      </c>
      <c r="U129" s="4">
        <f>IF(F129="R", TRUE, FALSE)</f>
        <v/>
      </c>
      <c r="V129" s="4">
        <f>IF(R129&gt;=7, "High", IF(R129&gt;=4, "Medium", "Low"))</f>
        <v/>
      </c>
    </row>
    <row r="130">
      <c r="A130" s="4" t="inlineStr">
        <is>
          <t>SC-Senate-005</t>
        </is>
      </c>
      <c r="B130" s="4" t="inlineStr">
        <is>
          <t>Senate District 5</t>
        </is>
      </c>
      <c r="C130" s="4" t="inlineStr">
        <is>
          <t>Senate</t>
        </is>
      </c>
      <c r="D130" s="4" t="n">
        <v>5</v>
      </c>
      <c r="E130" s="4" t="inlineStr">
        <is>
          <t>Thomas D. "Tom" Corbin</t>
        </is>
      </c>
      <c r="F130" s="4" t="inlineStr">
        <is>
          <t>R</t>
        </is>
      </c>
      <c r="G130" s="4" t="n">
        <v>2008</v>
      </c>
      <c r="H130" s="4" t="n">
        <v>2028</v>
      </c>
      <c r="I130" s="4" t="inlineStr">
        <is>
          <t>Greenville</t>
        </is>
      </c>
      <c r="J130" s="4" t="inlineStr">
        <is>
          <t>Greenville</t>
        </is>
      </c>
      <c r="K130" s="4" t="inlineStr">
        <is>
          <t>Upstate</t>
        </is>
      </c>
      <c r="L130" s="4" t="n">
        <v>4</v>
      </c>
      <c r="M130" s="7" t="n">
        <v>10.4</v>
      </c>
      <c r="N130" s="8" t="n">
        <v>43573</v>
      </c>
      <c r="O130" s="4" t="inlineStr">
        <is>
          <t>Veteran</t>
        </is>
      </c>
      <c r="P130" s="4" t="inlineStr">
        <is>
          <t>Urban</t>
        </is>
      </c>
      <c r="Q130" s="8" t="n">
        <v>105000</v>
      </c>
      <c r="R130" s="4" t="n">
        <v>4</v>
      </c>
      <c r="S130" s="4">
        <f>IF(ISNUMBER(M130), M130&lt;10, FALSE)</f>
        <v/>
      </c>
      <c r="T130" s="4">
        <f>IF(AND(F130="R", S130=TRUE), "High-D-Recruit", IF(O130="Open", "Open-Seat", IF(S130=TRUE, "Monitor", "Low")))</f>
        <v/>
      </c>
      <c r="U130" s="4">
        <f>IF(F130="R", TRUE, FALSE)</f>
        <v/>
      </c>
      <c r="V130" s="4">
        <f>IF(R130&gt;=7, "High", IF(R130&gt;=4, "Medium", "Low"))</f>
        <v/>
      </c>
    </row>
    <row r="131">
      <c r="A131" s="4" t="inlineStr">
        <is>
          <t>SC-Senate-006</t>
        </is>
      </c>
      <c r="B131" s="4" t="inlineStr">
        <is>
          <t>Senate District 6</t>
        </is>
      </c>
      <c r="C131" s="4" t="inlineStr">
        <is>
          <t>Senate</t>
        </is>
      </c>
      <c r="D131" s="4" t="n">
        <v>6</v>
      </c>
      <c r="E131" s="4" t="inlineStr">
        <is>
          <t>Jason Elliott</t>
        </is>
      </c>
      <c r="F131" s="4" t="inlineStr">
        <is>
          <t>R</t>
        </is>
      </c>
      <c r="G131" s="4" t="n">
        <v>2014</v>
      </c>
      <c r="H131" s="4" t="n">
        <v>2026</v>
      </c>
      <c r="I131" s="4" t="inlineStr">
        <is>
          <t>Greenville</t>
        </is>
      </c>
      <c r="J131" s="4" t="inlineStr">
        <is>
          <t>Greenville</t>
        </is>
      </c>
      <c r="K131" s="4" t="inlineStr">
        <is>
          <t>Upstate</t>
        </is>
      </c>
      <c r="L131" s="4" t="n">
        <v>3</v>
      </c>
      <c r="M131" s="7" t="n">
        <v>10.9</v>
      </c>
      <c r="N131" s="8" t="n">
        <v>71154</v>
      </c>
      <c r="O131" s="4" t="inlineStr">
        <is>
          <t>Veteran</t>
        </is>
      </c>
      <c r="P131" s="4" t="inlineStr">
        <is>
          <t>Suburban</t>
        </is>
      </c>
      <c r="Q131" s="8" t="n">
        <v>105000</v>
      </c>
      <c r="R131" s="4" t="n">
        <v>4</v>
      </c>
      <c r="S131" s="4">
        <f>IF(ISNUMBER(M131), M131&lt;10, FALSE)</f>
        <v/>
      </c>
      <c r="T131" s="4">
        <f>IF(AND(F131="R", S131=TRUE), "High-D-Recruit", IF(O131="Open", "Open-Seat", IF(S131=TRUE, "Monitor", "Low")))</f>
        <v/>
      </c>
      <c r="U131" s="4">
        <f>IF(F131="R", TRUE, FALSE)</f>
        <v/>
      </c>
      <c r="V131" s="4">
        <f>IF(R131&gt;=7, "High", IF(R131&gt;=4, "Medium", "Low"))</f>
        <v/>
      </c>
    </row>
    <row r="132">
      <c r="A132" s="4" t="inlineStr">
        <is>
          <t>SC-Senate-007</t>
        </is>
      </c>
      <c r="B132" s="4" t="inlineStr">
        <is>
          <t>Senate District 7</t>
        </is>
      </c>
      <c r="C132" s="4" t="inlineStr">
        <is>
          <t>Senate</t>
        </is>
      </c>
      <c r="D132" s="4" t="n">
        <v>7</v>
      </c>
      <c r="E132" s="4" t="inlineStr">
        <is>
          <t>Karl B. Allen</t>
        </is>
      </c>
      <c r="F132" s="4" t="inlineStr">
        <is>
          <t>D</t>
        </is>
      </c>
      <c r="G132" s="4" t="n">
        <v>2012</v>
      </c>
      <c r="H132" s="4" t="n">
        <v>2028</v>
      </c>
      <c r="I132" s="4" t="inlineStr">
        <is>
          <t>Greenville</t>
        </is>
      </c>
      <c r="J132" s="4" t="inlineStr">
        <is>
          <t>Greenville</t>
        </is>
      </c>
      <c r="K132" s="4" t="inlineStr">
        <is>
          <t>Upstate</t>
        </is>
      </c>
      <c r="L132" s="4" t="n">
        <v>3</v>
      </c>
      <c r="M132" s="4" t="inlineStr">
        <is>
          <t>Unopposed</t>
        </is>
      </c>
      <c r="N132" s="8" t="n">
        <v>48379</v>
      </c>
      <c r="O132" s="4" t="inlineStr">
        <is>
          <t>Veteran</t>
        </is>
      </c>
      <c r="P132" s="4" t="inlineStr">
        <is>
          <t>Suburban</t>
        </is>
      </c>
      <c r="Q132" s="8" t="n">
        <v>105000</v>
      </c>
      <c r="R132" s="4" t="n">
        <v>1</v>
      </c>
      <c r="S132" s="4">
        <f>IF(ISNUMBER(M132), M132&lt;10, FALSE)</f>
        <v/>
      </c>
      <c r="T132" s="4">
        <f>IF(AND(F132="R", S132=TRUE), "High-D-Recruit", IF(O132="Open", "Open-Seat", IF(S132=TRUE, "Monitor", "Low")))</f>
        <v/>
      </c>
      <c r="U132" s="4">
        <f>IF(F132="R", TRUE, FALSE)</f>
        <v/>
      </c>
      <c r="V132" s="4">
        <f>IF(R132&gt;=7, "High", IF(R132&gt;=4, "Medium", "Low"))</f>
        <v/>
      </c>
    </row>
    <row r="133">
      <c r="A133" s="4" t="inlineStr">
        <is>
          <t>SC-Senate-008</t>
        </is>
      </c>
      <c r="B133" s="4" t="inlineStr">
        <is>
          <t>Senate District 8</t>
        </is>
      </c>
      <c r="C133" s="4" t="inlineStr">
        <is>
          <t>Senate</t>
        </is>
      </c>
      <c r="D133" s="4" t="n">
        <v>8</v>
      </c>
      <c r="E133" s="4" t="inlineStr">
        <is>
          <t>Ross Turner</t>
        </is>
      </c>
      <c r="F133" s="4" t="inlineStr">
        <is>
          <t>R</t>
        </is>
      </c>
      <c r="G133" s="4" t="n">
        <v>1998</v>
      </c>
      <c r="H133" s="4" t="n">
        <v>2026</v>
      </c>
      <c r="I133" s="4" t="inlineStr">
        <is>
          <t>Greenville</t>
        </is>
      </c>
      <c r="J133" s="4" t="inlineStr">
        <is>
          <t>Greenville</t>
        </is>
      </c>
      <c r="K133" s="4" t="inlineStr">
        <is>
          <t>Upstate</t>
        </is>
      </c>
      <c r="L133" s="4" t="n">
        <v>7</v>
      </c>
      <c r="M133" s="7" t="n">
        <v>26.8</v>
      </c>
      <c r="N133" s="8" t="n">
        <v>39931</v>
      </c>
      <c r="O133" s="4" t="inlineStr">
        <is>
          <t>Long-serving</t>
        </is>
      </c>
      <c r="P133" s="4" t="inlineStr">
        <is>
          <t>Suburban</t>
        </is>
      </c>
      <c r="Q133" s="8" t="n">
        <v>105000</v>
      </c>
      <c r="R133" s="4" t="n">
        <v>3</v>
      </c>
      <c r="S133" s="4">
        <f>IF(ISNUMBER(M133), M133&lt;10, FALSE)</f>
        <v/>
      </c>
      <c r="T133" s="4">
        <f>IF(AND(F133="R", S133=TRUE), "High-D-Recruit", IF(O133="Open", "Open-Seat", IF(S133=TRUE, "Monitor", "Low")))</f>
        <v/>
      </c>
      <c r="U133" s="4">
        <f>IF(F133="R", TRUE, FALSE)</f>
        <v/>
      </c>
      <c r="V133" s="4">
        <f>IF(R133&gt;=7, "High", IF(R133&gt;=4, "Medium", "Low"))</f>
        <v/>
      </c>
    </row>
    <row r="134">
      <c r="A134" s="4" t="inlineStr">
        <is>
          <t>SC-Senate-009</t>
        </is>
      </c>
      <c r="B134" s="4" t="inlineStr">
        <is>
          <t>Senate District 9</t>
        </is>
      </c>
      <c r="C134" s="4" t="inlineStr">
        <is>
          <t>Senate</t>
        </is>
      </c>
      <c r="D134" s="4" t="n">
        <v>9</v>
      </c>
      <c r="E134" s="4" t="inlineStr">
        <is>
          <t>Daniel B. "Danny" Verdin III</t>
        </is>
      </c>
      <c r="F134" s="4" t="inlineStr">
        <is>
          <t>R</t>
        </is>
      </c>
      <c r="G134" s="4" t="n">
        <v>2006</v>
      </c>
      <c r="H134" s="4" t="n">
        <v>2028</v>
      </c>
      <c r="I134" s="4" t="inlineStr">
        <is>
          <t>Laurens</t>
        </is>
      </c>
      <c r="J134" s="4" t="inlineStr">
        <is>
          <t>Laurens, Greenwood</t>
        </is>
      </c>
      <c r="K134" s="4" t="inlineStr">
        <is>
          <t>Upstate</t>
        </is>
      </c>
      <c r="L134" s="4" t="n">
        <v>5</v>
      </c>
      <c r="M134" s="4" t="inlineStr">
        <is>
          <t>Unopposed</t>
        </is>
      </c>
      <c r="N134" s="8" t="n">
        <v>52643</v>
      </c>
      <c r="O134" s="4" t="inlineStr">
        <is>
          <t>Long-serving</t>
        </is>
      </c>
      <c r="P134" s="4" t="inlineStr">
        <is>
          <t>Rural</t>
        </is>
      </c>
      <c r="Q134" s="8" t="n">
        <v>105000</v>
      </c>
      <c r="R134" s="4" t="n">
        <v>2</v>
      </c>
      <c r="S134" s="4">
        <f>IF(ISNUMBER(M134), M134&lt;10, FALSE)</f>
        <v/>
      </c>
      <c r="T134" s="4">
        <f>IF(AND(F134="R", S134=TRUE), "High-D-Recruit", IF(O134="Open", "Open-Seat", IF(S134=TRUE, "Monitor", "Low")))</f>
        <v/>
      </c>
      <c r="U134" s="4">
        <f>IF(F134="R", TRUE, FALSE)</f>
        <v/>
      </c>
      <c r="V134" s="4">
        <f>IF(R134&gt;=7, "High", IF(R134&gt;=4, "Medium", "Low"))</f>
        <v/>
      </c>
    </row>
    <row r="135">
      <c r="A135" s="4" t="inlineStr">
        <is>
          <t>SC-Senate-010</t>
        </is>
      </c>
      <c r="B135" s="4" t="inlineStr">
        <is>
          <t>Senate District 10</t>
        </is>
      </c>
      <c r="C135" s="4" t="inlineStr">
        <is>
          <t>Senate</t>
        </is>
      </c>
      <c r="D135" s="4" t="n">
        <v>10</v>
      </c>
      <c r="E135" s="4" t="inlineStr">
        <is>
          <t>Billy Garrett</t>
        </is>
      </c>
      <c r="F135" s="4" t="inlineStr">
        <is>
          <t>R</t>
        </is>
      </c>
      <c r="G135" s="4" t="n">
        <v>2024</v>
      </c>
      <c r="H135" s="4" t="n">
        <v>2026</v>
      </c>
      <c r="I135" s="4" t="inlineStr">
        <is>
          <t>Spartanburg</t>
        </is>
      </c>
      <c r="J135" s="4" t="inlineStr">
        <is>
          <t>Spartanburg</t>
        </is>
      </c>
      <c r="K135" s="4" t="inlineStr">
        <is>
          <t>Upstate</t>
        </is>
      </c>
      <c r="L135" s="4" t="n">
        <v>0</v>
      </c>
      <c r="M135" s="4" t="inlineStr">
        <is>
          <t>Unopposed</t>
        </is>
      </c>
      <c r="N135" s="8" t="n">
        <v>47877</v>
      </c>
      <c r="O135" s="4" t="inlineStr">
        <is>
          <t>First-term</t>
        </is>
      </c>
      <c r="P135" s="4" t="inlineStr">
        <is>
          <t>Suburban</t>
        </is>
      </c>
      <c r="Q135" s="8" t="n">
        <v>105000</v>
      </c>
      <c r="R135" s="4" t="n">
        <v>4</v>
      </c>
      <c r="S135" s="4">
        <f>IF(ISNUMBER(M135), M135&lt;10, FALSE)</f>
        <v/>
      </c>
      <c r="T135" s="4">
        <f>IF(AND(F135="R", S135=TRUE), "High-D-Recruit", IF(O135="Open", "Open-Seat", IF(S135=TRUE, "Monitor", "Low")))</f>
        <v/>
      </c>
      <c r="U135" s="4">
        <f>IF(F135="R", TRUE, FALSE)</f>
        <v/>
      </c>
      <c r="V135" s="4">
        <f>IF(R135&gt;=7, "High", IF(R135&gt;=4, "Medium", "Low"))</f>
        <v/>
      </c>
    </row>
    <row r="136">
      <c r="A136" s="4" t="inlineStr">
        <is>
          <t>SC-Senate-011</t>
        </is>
      </c>
      <c r="B136" s="4" t="inlineStr">
        <is>
          <t>Senate District 11</t>
        </is>
      </c>
      <c r="C136" s="4" t="inlineStr">
        <is>
          <t>Senate</t>
        </is>
      </c>
      <c r="D136" s="4" t="n">
        <v>11</v>
      </c>
      <c r="E136" s="4" t="inlineStr">
        <is>
          <t>Josh Kimbrell</t>
        </is>
      </c>
      <c r="F136" s="4" t="inlineStr">
        <is>
          <t>R</t>
        </is>
      </c>
      <c r="G136" s="4" t="n">
        <v>2014</v>
      </c>
      <c r="H136" s="4" t="n">
        <v>2028</v>
      </c>
      <c r="I136" s="4" t="inlineStr">
        <is>
          <t>Spartanburg</t>
        </is>
      </c>
      <c r="J136" s="4" t="inlineStr">
        <is>
          <t>Spartanburg</t>
        </is>
      </c>
      <c r="K136" s="4" t="inlineStr">
        <is>
          <t>Upstate</t>
        </is>
      </c>
      <c r="L136" s="4" t="n">
        <v>3</v>
      </c>
      <c r="M136" s="7" t="n">
        <v>4.2</v>
      </c>
      <c r="N136" s="8" t="n">
        <v>63166</v>
      </c>
      <c r="O136" s="4" t="inlineStr">
        <is>
          <t>Veteran</t>
        </is>
      </c>
      <c r="P136" s="4" t="inlineStr">
        <is>
          <t>Mixed</t>
        </is>
      </c>
      <c r="Q136" s="8" t="n">
        <v>105000</v>
      </c>
      <c r="R136" s="4" t="n">
        <v>6</v>
      </c>
      <c r="S136" s="4">
        <f>IF(ISNUMBER(M136), M136&lt;10, FALSE)</f>
        <v/>
      </c>
      <c r="T136" s="4">
        <f>IF(AND(F136="R", S136=TRUE), "High-D-Recruit", IF(O136="Open", "Open-Seat", IF(S136=TRUE, "Monitor", "Low")))</f>
        <v/>
      </c>
      <c r="U136" s="4">
        <f>IF(F136="R", TRUE, FALSE)</f>
        <v/>
      </c>
      <c r="V136" s="4">
        <f>IF(R136&gt;=7, "High", IF(R136&gt;=4, "Medium", "Low"))</f>
        <v/>
      </c>
    </row>
    <row r="137">
      <c r="A137" s="4" t="inlineStr">
        <is>
          <t>SC-Senate-012</t>
        </is>
      </c>
      <c r="B137" s="4" t="inlineStr">
        <is>
          <t>Senate District 12</t>
        </is>
      </c>
      <c r="C137" s="4" t="inlineStr">
        <is>
          <t>Senate</t>
        </is>
      </c>
      <c r="D137" s="4" t="n">
        <v>12</v>
      </c>
      <c r="E137" s="4" t="inlineStr">
        <is>
          <t>Lee Bright</t>
        </is>
      </c>
      <c r="F137" s="4" t="inlineStr">
        <is>
          <t>R</t>
        </is>
      </c>
      <c r="G137" s="4" t="n">
        <v>2016</v>
      </c>
      <c r="H137" s="4" t="n">
        <v>2026</v>
      </c>
      <c r="I137" s="4" t="inlineStr">
        <is>
          <t>Spartanburg</t>
        </is>
      </c>
      <c r="J137" s="4" t="inlineStr">
        <is>
          <t>Spartanburg, Cherokee</t>
        </is>
      </c>
      <c r="K137" s="4" t="inlineStr">
        <is>
          <t>Upstate</t>
        </is>
      </c>
      <c r="L137" s="4" t="n">
        <v>2</v>
      </c>
      <c r="M137" s="7" t="n">
        <v>20.4</v>
      </c>
      <c r="N137" s="8" t="n">
        <v>55202</v>
      </c>
      <c r="O137" s="4" t="inlineStr">
        <is>
          <t>Veteran</t>
        </is>
      </c>
      <c r="P137" s="4" t="inlineStr">
        <is>
          <t>Mixed</t>
        </is>
      </c>
      <c r="Q137" s="8" t="n">
        <v>105000</v>
      </c>
      <c r="R137" s="4" t="n">
        <v>4</v>
      </c>
      <c r="S137" s="4">
        <f>IF(ISNUMBER(M137), M137&lt;10, FALSE)</f>
        <v/>
      </c>
      <c r="T137" s="4">
        <f>IF(AND(F137="R", S137=TRUE), "High-D-Recruit", IF(O137="Open", "Open-Seat", IF(S137=TRUE, "Monitor", "Low")))</f>
        <v/>
      </c>
      <c r="U137" s="4">
        <f>IF(F137="R", TRUE, FALSE)</f>
        <v/>
      </c>
      <c r="V137" s="4">
        <f>IF(R137&gt;=7, "High", IF(R137&gt;=4, "Medium", "Low"))</f>
        <v/>
      </c>
    </row>
    <row r="138">
      <c r="A138" s="4" t="inlineStr">
        <is>
          <t>SC-Senate-013</t>
        </is>
      </c>
      <c r="B138" s="4" t="inlineStr">
        <is>
          <t>Senate District 13</t>
        </is>
      </c>
      <c r="C138" s="4" t="inlineStr">
        <is>
          <t>Senate</t>
        </is>
      </c>
      <c r="D138" s="4" t="n">
        <v>13</v>
      </c>
      <c r="E138" s="4" t="inlineStr">
        <is>
          <t>Shane R. Martin</t>
        </is>
      </c>
      <c r="F138" s="4" t="inlineStr">
        <is>
          <t>R</t>
        </is>
      </c>
      <c r="G138" s="4" t="n">
        <v>2014</v>
      </c>
      <c r="H138" s="4" t="n">
        <v>2028</v>
      </c>
      <c r="I138" s="4" t="inlineStr">
        <is>
          <t>Spartanburg</t>
        </is>
      </c>
      <c r="J138" s="4" t="inlineStr">
        <is>
          <t>Spartanburg, Union</t>
        </is>
      </c>
      <c r="K138" s="4" t="inlineStr">
        <is>
          <t>Upstate</t>
        </is>
      </c>
      <c r="L138" s="4" t="n">
        <v>3</v>
      </c>
      <c r="M138" s="7" t="n">
        <v>34</v>
      </c>
      <c r="N138" s="8" t="n">
        <v>37614</v>
      </c>
      <c r="O138" s="4" t="inlineStr">
        <is>
          <t>Veteran</t>
        </is>
      </c>
      <c r="P138" s="4" t="inlineStr">
        <is>
          <t>Rural</t>
        </is>
      </c>
      <c r="Q138" s="8" t="n">
        <v>105000</v>
      </c>
      <c r="R138" s="4" t="n">
        <v>4</v>
      </c>
      <c r="S138" s="4">
        <f>IF(ISNUMBER(M138), M138&lt;10, FALSE)</f>
        <v/>
      </c>
      <c r="T138" s="4">
        <f>IF(AND(F138="R", S138=TRUE), "High-D-Recruit", IF(O138="Open", "Open-Seat", IF(S138=TRUE, "Monitor", "Low")))</f>
        <v/>
      </c>
      <c r="U138" s="4">
        <f>IF(F138="R", TRUE, FALSE)</f>
        <v/>
      </c>
      <c r="V138" s="4">
        <f>IF(R138&gt;=7, "High", IF(R138&gt;=4, "Medium", "Low"))</f>
        <v/>
      </c>
    </row>
    <row r="139">
      <c r="A139" s="4" t="inlineStr">
        <is>
          <t>SC-Senate-014</t>
        </is>
      </c>
      <c r="B139" s="4" t="inlineStr">
        <is>
          <t>Senate District 14</t>
        </is>
      </c>
      <c r="C139" s="4" t="inlineStr">
        <is>
          <t>Senate</t>
        </is>
      </c>
      <c r="D139" s="4" t="n">
        <v>14</v>
      </c>
      <c r="E139" s="4" t="inlineStr">
        <is>
          <t>Harvey S. Peeler, Jr.</t>
        </is>
      </c>
      <c r="F139" s="4" t="inlineStr">
        <is>
          <t>R</t>
        </is>
      </c>
      <c r="G139" s="4" t="n">
        <v>2008</v>
      </c>
      <c r="H139" s="4" t="n">
        <v>2026</v>
      </c>
      <c r="I139" s="4" t="inlineStr">
        <is>
          <t>Cherokee</t>
        </is>
      </c>
      <c r="J139" s="4" t="inlineStr">
        <is>
          <t>Cherokee, York, Chester</t>
        </is>
      </c>
      <c r="K139" s="4" t="inlineStr">
        <is>
          <t>Upstate</t>
        </is>
      </c>
      <c r="L139" s="4" t="n">
        <v>4</v>
      </c>
      <c r="M139" s="4" t="inlineStr">
        <is>
          <t>Unopposed</t>
        </is>
      </c>
      <c r="N139" s="8" t="n">
        <v>36883</v>
      </c>
      <c r="O139" s="4" t="inlineStr">
        <is>
          <t>Veteran</t>
        </is>
      </c>
      <c r="P139" s="4" t="inlineStr">
        <is>
          <t>Rural</t>
        </is>
      </c>
      <c r="Q139" s="8" t="n">
        <v>105000</v>
      </c>
      <c r="R139" s="4" t="n">
        <v>3</v>
      </c>
      <c r="S139" s="4">
        <f>IF(ISNUMBER(M139), M139&lt;10, FALSE)</f>
        <v/>
      </c>
      <c r="T139" s="4">
        <f>IF(AND(F139="R", S139=TRUE), "High-D-Recruit", IF(O139="Open", "Open-Seat", IF(S139=TRUE, "Monitor", "Low")))</f>
        <v/>
      </c>
      <c r="U139" s="4">
        <f>IF(F139="R", TRUE, FALSE)</f>
        <v/>
      </c>
      <c r="V139" s="4">
        <f>IF(R139&gt;=7, "High", IF(R139&gt;=4, "Medium", "Low"))</f>
        <v/>
      </c>
    </row>
    <row r="140">
      <c r="A140" s="4" t="inlineStr">
        <is>
          <t>SC-Senate-015</t>
        </is>
      </c>
      <c r="B140" s="4" t="inlineStr">
        <is>
          <t>Senate District 15</t>
        </is>
      </c>
      <c r="C140" s="4" t="inlineStr">
        <is>
          <t>Senate</t>
        </is>
      </c>
      <c r="D140" s="4" t="n">
        <v>15</v>
      </c>
      <c r="E140" s="4" t="inlineStr">
        <is>
          <t>Wes Climer</t>
        </is>
      </c>
      <c r="F140" s="4" t="inlineStr">
        <is>
          <t>R</t>
        </is>
      </c>
      <c r="G140" s="4" t="n">
        <v>2002</v>
      </c>
      <c r="H140" s="4" t="n">
        <v>2028</v>
      </c>
      <c r="I140" s="4" t="inlineStr">
        <is>
          <t>York</t>
        </is>
      </c>
      <c r="J140" s="4" t="inlineStr">
        <is>
          <t>York, Lancaster</t>
        </is>
      </c>
      <c r="K140" s="4" t="inlineStr">
        <is>
          <t>Upstate</t>
        </is>
      </c>
      <c r="L140" s="4" t="n">
        <v>6</v>
      </c>
      <c r="M140" s="4" t="inlineStr">
        <is>
          <t>Unopposed</t>
        </is>
      </c>
      <c r="N140" s="8" t="n">
        <v>51854</v>
      </c>
      <c r="O140" s="4" t="inlineStr">
        <is>
          <t>Long-serving</t>
        </is>
      </c>
      <c r="P140" s="4" t="inlineStr">
        <is>
          <t>Suburban</t>
        </is>
      </c>
      <c r="Q140" s="8" t="n">
        <v>105000</v>
      </c>
      <c r="R140" s="4" t="n">
        <v>2</v>
      </c>
      <c r="S140" s="4">
        <f>IF(ISNUMBER(M140), M140&lt;10, FALSE)</f>
        <v/>
      </c>
      <c r="T140" s="4">
        <f>IF(AND(F140="R", S140=TRUE), "High-D-Recruit", IF(O140="Open", "Open-Seat", IF(S140=TRUE, "Monitor", "Low")))</f>
        <v/>
      </c>
      <c r="U140" s="4">
        <f>IF(F140="R", TRUE, FALSE)</f>
        <v/>
      </c>
      <c r="V140" s="4">
        <f>IF(R140&gt;=7, "High", IF(R140&gt;=4, "Medium", "Low"))</f>
        <v/>
      </c>
    </row>
    <row r="141">
      <c r="A141" s="4" t="inlineStr">
        <is>
          <t>SC-Senate-016</t>
        </is>
      </c>
      <c r="B141" s="4" t="inlineStr">
        <is>
          <t>Senate District 16</t>
        </is>
      </c>
      <c r="C141" s="4" t="inlineStr">
        <is>
          <t>Senate</t>
        </is>
      </c>
      <c r="D141" s="4" t="n">
        <v>16</v>
      </c>
      <c r="E141" s="4" t="inlineStr">
        <is>
          <t>Michael Johnson</t>
        </is>
      </c>
      <c r="F141" s="4" t="inlineStr">
        <is>
          <t>R</t>
        </is>
      </c>
      <c r="G141" s="4" t="n">
        <v>2020</v>
      </c>
      <c r="H141" s="4" t="n">
        <v>2026</v>
      </c>
      <c r="I141" s="4" t="inlineStr">
        <is>
          <t>York</t>
        </is>
      </c>
      <c r="J141" s="4" t="inlineStr">
        <is>
          <t>York</t>
        </is>
      </c>
      <c r="K141" s="4" t="inlineStr">
        <is>
          <t>Upstate</t>
        </is>
      </c>
      <c r="L141" s="4" t="n">
        <v>1</v>
      </c>
      <c r="M141" s="7" t="n">
        <v>2.2</v>
      </c>
      <c r="N141" s="8" t="n">
        <v>71692</v>
      </c>
      <c r="O141" s="4" t="inlineStr">
        <is>
          <t>First-term</t>
        </is>
      </c>
      <c r="P141" s="4" t="inlineStr">
        <is>
          <t>Suburban</t>
        </is>
      </c>
      <c r="Q141" s="8" t="n">
        <v>105000</v>
      </c>
      <c r="R141" s="4" t="n">
        <v>7</v>
      </c>
      <c r="S141" s="4">
        <f>IF(ISNUMBER(M141), M141&lt;10, FALSE)</f>
        <v/>
      </c>
      <c r="T141" s="4">
        <f>IF(AND(F141="R", S141=TRUE), "High-D-Recruit", IF(O141="Open", "Open-Seat", IF(S141=TRUE, "Monitor", "Low")))</f>
        <v/>
      </c>
      <c r="U141" s="4">
        <f>IF(F141="R", TRUE, FALSE)</f>
        <v/>
      </c>
      <c r="V141" s="4">
        <f>IF(R141&gt;=7, "High", IF(R141&gt;=4, "Medium", "Low"))</f>
        <v/>
      </c>
    </row>
    <row r="142">
      <c r="A142" s="4" t="inlineStr">
        <is>
          <t>SC-Senate-017</t>
        </is>
      </c>
      <c r="B142" s="4" t="inlineStr">
        <is>
          <t>Senate District 17</t>
        </is>
      </c>
      <c r="C142" s="4" t="inlineStr">
        <is>
          <t>Senate</t>
        </is>
      </c>
      <c r="D142" s="4" t="n">
        <v>17</v>
      </c>
      <c r="E142" s="4" t="inlineStr">
        <is>
          <t>Everett Stubbs</t>
        </is>
      </c>
      <c r="F142" s="4" t="inlineStr">
        <is>
          <t>R</t>
        </is>
      </c>
      <c r="G142" s="4" t="n">
        <v>2016</v>
      </c>
      <c r="H142" s="4" t="n">
        <v>2028</v>
      </c>
      <c r="I142" s="4" t="inlineStr">
        <is>
          <t>Fairfield</t>
        </is>
      </c>
      <c r="J142" s="4" t="inlineStr">
        <is>
          <t>Fairfield, Newberry, Richland</t>
        </is>
      </c>
      <c r="K142" s="4" t="inlineStr">
        <is>
          <t>Midlands</t>
        </is>
      </c>
      <c r="L142" s="4" t="n">
        <v>2</v>
      </c>
      <c r="M142" s="4" t="inlineStr">
        <is>
          <t>Unopposed</t>
        </is>
      </c>
      <c r="N142" s="8" t="n">
        <v>43316</v>
      </c>
      <c r="O142" s="4" t="inlineStr">
        <is>
          <t>Veteran</t>
        </is>
      </c>
      <c r="P142" s="4" t="inlineStr">
        <is>
          <t>Rural</t>
        </is>
      </c>
      <c r="Q142" s="8" t="n">
        <v>105000</v>
      </c>
      <c r="R142" s="4" t="n">
        <v>3</v>
      </c>
      <c r="S142" s="4">
        <f>IF(ISNUMBER(M142), M142&lt;10, FALSE)</f>
        <v/>
      </c>
      <c r="T142" s="4">
        <f>IF(AND(F142="R", S142=TRUE), "High-D-Recruit", IF(O142="Open", "Open-Seat", IF(S142=TRUE, "Monitor", "Low")))</f>
        <v/>
      </c>
      <c r="U142" s="4">
        <f>IF(F142="R", TRUE, FALSE)</f>
        <v/>
      </c>
      <c r="V142" s="4">
        <f>IF(R142&gt;=7, "High", IF(R142&gt;=4, "Medium", "Low"))</f>
        <v/>
      </c>
    </row>
    <row r="143">
      <c r="A143" s="4" t="inlineStr">
        <is>
          <t>SC-Senate-018</t>
        </is>
      </c>
      <c r="B143" s="4" t="inlineStr">
        <is>
          <t>Senate District 18</t>
        </is>
      </c>
      <c r="C143" s="4" t="inlineStr">
        <is>
          <t>Senate</t>
        </is>
      </c>
      <c r="D143" s="4" t="n">
        <v>18</v>
      </c>
      <c r="E143" s="4" t="inlineStr">
        <is>
          <t>Ronnie W. Cromer</t>
        </is>
      </c>
      <c r="F143" s="4" t="inlineStr">
        <is>
          <t>R</t>
        </is>
      </c>
      <c r="G143" s="4" t="n">
        <v>2016</v>
      </c>
      <c r="H143" s="4" t="n">
        <v>2026</v>
      </c>
      <c r="I143" s="4" t="inlineStr">
        <is>
          <t>Newberry</t>
        </is>
      </c>
      <c r="J143" s="4" t="inlineStr">
        <is>
          <t>Newberry, Lexington, Saluda</t>
        </is>
      </c>
      <c r="K143" s="4" t="inlineStr">
        <is>
          <t>Midlands</t>
        </is>
      </c>
      <c r="L143" s="4" t="n">
        <v>2</v>
      </c>
      <c r="M143" s="4" t="inlineStr">
        <is>
          <t>Unopposed</t>
        </is>
      </c>
      <c r="N143" s="8" t="n">
        <v>54558</v>
      </c>
      <c r="O143" s="4" t="inlineStr">
        <is>
          <t>Veteran</t>
        </is>
      </c>
      <c r="P143" s="4" t="inlineStr">
        <is>
          <t>Mixed</t>
        </is>
      </c>
      <c r="Q143" s="8" t="n">
        <v>105000</v>
      </c>
      <c r="R143" s="4" t="n">
        <v>3</v>
      </c>
      <c r="S143" s="4">
        <f>IF(ISNUMBER(M143), M143&lt;10, FALSE)</f>
        <v/>
      </c>
      <c r="T143" s="4">
        <f>IF(AND(F143="R", S143=TRUE), "High-D-Recruit", IF(O143="Open", "Open-Seat", IF(S143=TRUE, "Monitor", "Low")))</f>
        <v/>
      </c>
      <c r="U143" s="4">
        <f>IF(F143="R", TRUE, FALSE)</f>
        <v/>
      </c>
      <c r="V143" s="4">
        <f>IF(R143&gt;=7, "High", IF(R143&gt;=4, "Medium", "Low"))</f>
        <v/>
      </c>
    </row>
    <row r="144">
      <c r="A144" s="4" t="inlineStr">
        <is>
          <t>SC-Senate-019</t>
        </is>
      </c>
      <c r="B144" s="4" t="inlineStr">
        <is>
          <t>Senate District 19</t>
        </is>
      </c>
      <c r="C144" s="4" t="inlineStr">
        <is>
          <t>Senate</t>
        </is>
      </c>
      <c r="D144" s="4" t="n">
        <v>19</v>
      </c>
      <c r="E144" s="4" t="inlineStr">
        <is>
          <t>Tameika Isaac Devine</t>
        </is>
      </c>
      <c r="F144" s="4" t="inlineStr">
        <is>
          <t>D</t>
        </is>
      </c>
      <c r="G144" s="4" t="n">
        <v>2018</v>
      </c>
      <c r="H144" s="4" t="n">
        <v>2028</v>
      </c>
      <c r="I144" s="4" t="inlineStr">
        <is>
          <t>Richland</t>
        </is>
      </c>
      <c r="J144" s="4" t="inlineStr">
        <is>
          <t>Richland</t>
        </is>
      </c>
      <c r="K144" s="4" t="inlineStr">
        <is>
          <t>Midlands</t>
        </is>
      </c>
      <c r="L144" s="4" t="n">
        <v>2</v>
      </c>
      <c r="M144" s="7" t="n">
        <v>28.3</v>
      </c>
      <c r="N144" s="8" t="n">
        <v>46603</v>
      </c>
      <c r="O144" s="4" t="inlineStr">
        <is>
          <t>Veteran</t>
        </is>
      </c>
      <c r="P144" s="4" t="inlineStr">
        <is>
          <t>Urban</t>
        </is>
      </c>
      <c r="Q144" s="8" t="n">
        <v>105000</v>
      </c>
      <c r="R144" s="4" t="n">
        <v>2</v>
      </c>
      <c r="S144" s="4">
        <f>IF(ISNUMBER(M144), M144&lt;10, FALSE)</f>
        <v/>
      </c>
      <c r="T144" s="4">
        <f>IF(AND(F144="R", S144=TRUE), "High-D-Recruit", IF(O144="Open", "Open-Seat", IF(S144=TRUE, "Monitor", "Low")))</f>
        <v/>
      </c>
      <c r="U144" s="4">
        <f>IF(F144="R", TRUE, FALSE)</f>
        <v/>
      </c>
      <c r="V144" s="4">
        <f>IF(R144&gt;=7, "High", IF(R144&gt;=4, "Medium", "Low"))</f>
        <v/>
      </c>
    </row>
    <row r="145">
      <c r="A145" s="4" t="inlineStr">
        <is>
          <t>SC-Senate-020</t>
        </is>
      </c>
      <c r="B145" s="4" t="inlineStr">
        <is>
          <t>Senate District 20</t>
        </is>
      </c>
      <c r="C145" s="4" t="inlineStr">
        <is>
          <t>Senate</t>
        </is>
      </c>
      <c r="D145" s="4" t="n">
        <v>20</v>
      </c>
      <c r="E145" s="4" t="inlineStr">
        <is>
          <t>Ed Sutton</t>
        </is>
      </c>
      <c r="F145" s="4" t="inlineStr">
        <is>
          <t>D</t>
        </is>
      </c>
      <c r="G145" s="4" t="n">
        <v>2010</v>
      </c>
      <c r="H145" s="4" t="n">
        <v>2026</v>
      </c>
      <c r="I145" s="4" t="inlineStr">
        <is>
          <t>Richland</t>
        </is>
      </c>
      <c r="J145" s="4" t="inlineStr">
        <is>
          <t>Richland</t>
        </is>
      </c>
      <c r="K145" s="4" t="inlineStr">
        <is>
          <t>Midlands</t>
        </is>
      </c>
      <c r="L145" s="4" t="n">
        <v>4</v>
      </c>
      <c r="M145" s="4" t="inlineStr">
        <is>
          <t>Unopposed</t>
        </is>
      </c>
      <c r="N145" s="8" t="n">
        <v>30812</v>
      </c>
      <c r="O145" s="4" t="inlineStr">
        <is>
          <t>Veteran</t>
        </is>
      </c>
      <c r="P145" s="4" t="inlineStr">
        <is>
          <t>Urban</t>
        </is>
      </c>
      <c r="Q145" s="8" t="n">
        <v>105000</v>
      </c>
      <c r="R145" s="4" t="n">
        <v>1</v>
      </c>
      <c r="S145" s="4">
        <f>IF(ISNUMBER(M145), M145&lt;10, FALSE)</f>
        <v/>
      </c>
      <c r="T145" s="4">
        <f>IF(AND(F145="R", S145=TRUE), "High-D-Recruit", IF(O145="Open", "Open-Seat", IF(S145=TRUE, "Monitor", "Low")))</f>
        <v/>
      </c>
      <c r="U145" s="4">
        <f>IF(F145="R", TRUE, FALSE)</f>
        <v/>
      </c>
      <c r="V145" s="4">
        <f>IF(R145&gt;=7, "High", IF(R145&gt;=4, "Medium", "Low"))</f>
        <v/>
      </c>
    </row>
    <row r="146">
      <c r="A146" s="4" t="inlineStr">
        <is>
          <t>SC-Senate-021</t>
        </is>
      </c>
      <c r="B146" s="4" t="inlineStr">
        <is>
          <t>Senate District 21</t>
        </is>
      </c>
      <c r="C146" s="4" t="inlineStr">
        <is>
          <t>Senate</t>
        </is>
      </c>
      <c r="D146" s="4" t="n">
        <v>21</v>
      </c>
      <c r="E146" s="4" t="inlineStr">
        <is>
          <t>Darrell Jackson</t>
        </is>
      </c>
      <c r="F146" s="4" t="inlineStr">
        <is>
          <t>D</t>
        </is>
      </c>
      <c r="G146" s="4" t="n">
        <v>2008</v>
      </c>
      <c r="H146" s="4" t="n">
        <v>2028</v>
      </c>
      <c r="I146" s="4" t="inlineStr">
        <is>
          <t>Richland</t>
        </is>
      </c>
      <c r="J146" s="4" t="inlineStr">
        <is>
          <t>Richland</t>
        </is>
      </c>
      <c r="K146" s="4" t="inlineStr">
        <is>
          <t>Midlands</t>
        </is>
      </c>
      <c r="L146" s="4" t="n">
        <v>4</v>
      </c>
      <c r="M146" s="7" t="n">
        <v>4.3</v>
      </c>
      <c r="N146" s="8" t="n">
        <v>56770</v>
      </c>
      <c r="O146" s="4" t="inlineStr">
        <is>
          <t>Veteran</t>
        </is>
      </c>
      <c r="P146" s="4" t="inlineStr">
        <is>
          <t>Urban</t>
        </is>
      </c>
      <c r="Q146" s="8" t="n">
        <v>105000</v>
      </c>
      <c r="R146" s="4" t="n">
        <v>4</v>
      </c>
      <c r="S146" s="4">
        <f>IF(ISNUMBER(M146), M146&lt;10, FALSE)</f>
        <v/>
      </c>
      <c r="T146" s="4">
        <f>IF(AND(F146="R", S146=TRUE), "High-D-Recruit", IF(O146="Open", "Open-Seat", IF(S146=TRUE, "Monitor", "Low")))</f>
        <v/>
      </c>
      <c r="U146" s="4">
        <f>IF(F146="R", TRUE, FALSE)</f>
        <v/>
      </c>
      <c r="V146" s="4">
        <f>IF(R146&gt;=7, "High", IF(R146&gt;=4, "Medium", "Low"))</f>
        <v/>
      </c>
    </row>
    <row r="147">
      <c r="A147" s="4" t="inlineStr">
        <is>
          <t>SC-Senate-022</t>
        </is>
      </c>
      <c r="B147" s="4" t="inlineStr">
        <is>
          <t>Senate District 22</t>
        </is>
      </c>
      <c r="C147" s="4" t="inlineStr">
        <is>
          <t>Senate</t>
        </is>
      </c>
      <c r="D147" s="4" t="n">
        <v>22</v>
      </c>
      <c r="E147" s="4" t="inlineStr">
        <is>
          <t>Overture Walker</t>
        </is>
      </c>
      <c r="F147" s="4" t="inlineStr">
        <is>
          <t>D</t>
        </is>
      </c>
      <c r="G147" s="4" t="n">
        <v>2020</v>
      </c>
      <c r="H147" s="4" t="n">
        <v>2026</v>
      </c>
      <c r="I147" s="4" t="inlineStr">
        <is>
          <t>Richland</t>
        </is>
      </c>
      <c r="J147" s="4" t="inlineStr">
        <is>
          <t>Richland, Lexington</t>
        </is>
      </c>
      <c r="K147" s="4" t="inlineStr">
        <is>
          <t>Midlands</t>
        </is>
      </c>
      <c r="L147" s="4" t="n">
        <v>1</v>
      </c>
      <c r="M147" s="4" t="inlineStr">
        <is>
          <t>Unopposed</t>
        </is>
      </c>
      <c r="N147" s="8" t="n">
        <v>43491</v>
      </c>
      <c r="O147" s="4" t="inlineStr">
        <is>
          <t>First-term</t>
        </is>
      </c>
      <c r="P147" s="4" t="inlineStr">
        <is>
          <t>Suburban</t>
        </is>
      </c>
      <c r="Q147" s="8" t="n">
        <v>105000</v>
      </c>
      <c r="R147" s="4" t="n">
        <v>2</v>
      </c>
      <c r="S147" s="4">
        <f>IF(ISNUMBER(M147), M147&lt;10, FALSE)</f>
        <v/>
      </c>
      <c r="T147" s="4">
        <f>IF(AND(F147="R", S147=TRUE), "High-D-Recruit", IF(O147="Open", "Open-Seat", IF(S147=TRUE, "Monitor", "Low")))</f>
        <v/>
      </c>
      <c r="U147" s="4">
        <f>IF(F147="R", TRUE, FALSE)</f>
        <v/>
      </c>
      <c r="V147" s="4">
        <f>IF(R147&gt;=7, "High", IF(R147&gt;=4, "Medium", "Low"))</f>
        <v/>
      </c>
    </row>
    <row r="148">
      <c r="A148" s="4" t="inlineStr">
        <is>
          <t>SC-Senate-023</t>
        </is>
      </c>
      <c r="B148" s="4" t="inlineStr">
        <is>
          <t>Senate District 23</t>
        </is>
      </c>
      <c r="C148" s="4" t="inlineStr">
        <is>
          <t>Senate</t>
        </is>
      </c>
      <c r="D148" s="4" t="n">
        <v>23</v>
      </c>
      <c r="E148" s="4" t="inlineStr">
        <is>
          <t>Carlisle Kennedy</t>
        </is>
      </c>
      <c r="F148" s="4" t="inlineStr">
        <is>
          <t>R</t>
        </is>
      </c>
      <c r="G148" s="4" t="n">
        <v>2020</v>
      </c>
      <c r="H148" s="4" t="n">
        <v>2028</v>
      </c>
      <c r="I148" s="4" t="inlineStr">
        <is>
          <t>Lexington</t>
        </is>
      </c>
      <c r="J148" s="4" t="inlineStr">
        <is>
          <t>Lexington</t>
        </is>
      </c>
      <c r="K148" s="4" t="inlineStr">
        <is>
          <t>Midlands</t>
        </is>
      </c>
      <c r="L148" s="4" t="n">
        <v>1</v>
      </c>
      <c r="M148" s="4" t="inlineStr">
        <is>
          <t>Unopposed</t>
        </is>
      </c>
      <c r="N148" s="8" t="n">
        <v>58313</v>
      </c>
      <c r="O148" s="4" t="inlineStr">
        <is>
          <t>First-term</t>
        </is>
      </c>
      <c r="P148" s="4" t="inlineStr">
        <is>
          <t>Suburban</t>
        </is>
      </c>
      <c r="Q148" s="8" t="n">
        <v>105000</v>
      </c>
      <c r="R148" s="4" t="n">
        <v>4</v>
      </c>
      <c r="S148" s="4">
        <f>IF(ISNUMBER(M148), M148&lt;10, FALSE)</f>
        <v/>
      </c>
      <c r="T148" s="4">
        <f>IF(AND(F148="R", S148=TRUE), "High-D-Recruit", IF(O148="Open", "Open-Seat", IF(S148=TRUE, "Monitor", "Low")))</f>
        <v/>
      </c>
      <c r="U148" s="4">
        <f>IF(F148="R", TRUE, FALSE)</f>
        <v/>
      </c>
      <c r="V148" s="4">
        <f>IF(R148&gt;=7, "High", IF(R148&gt;=4, "Medium", "Low"))</f>
        <v/>
      </c>
    </row>
    <row r="149">
      <c r="A149" s="4" t="inlineStr">
        <is>
          <t>SC-Senate-024</t>
        </is>
      </c>
      <c r="B149" s="4" t="inlineStr">
        <is>
          <t>Senate District 24</t>
        </is>
      </c>
      <c r="C149" s="4" t="inlineStr">
        <is>
          <t>Senate</t>
        </is>
      </c>
      <c r="D149" s="4" t="n">
        <v>24</v>
      </c>
      <c r="E149" s="4" t="inlineStr">
        <is>
          <t>Tom Young, Jr.</t>
        </is>
      </c>
      <c r="F149" s="4" t="inlineStr">
        <is>
          <t>R</t>
        </is>
      </c>
      <c r="G149" s="4" t="n">
        <v>2022</v>
      </c>
      <c r="H149" s="4" t="n">
        <v>2026</v>
      </c>
      <c r="I149" s="4" t="inlineStr">
        <is>
          <t>Lexington</t>
        </is>
      </c>
      <c r="J149" s="4" t="inlineStr">
        <is>
          <t>Lexington, Aiken</t>
        </is>
      </c>
      <c r="K149" s="4" t="inlineStr">
        <is>
          <t>Midlands</t>
        </is>
      </c>
      <c r="L149" s="4" t="n">
        <v>1</v>
      </c>
      <c r="M149" s="4" t="inlineStr">
        <is>
          <t>Unopposed</t>
        </is>
      </c>
      <c r="N149" s="8" t="n">
        <v>38131</v>
      </c>
      <c r="O149" s="4" t="inlineStr">
        <is>
          <t>First-term</t>
        </is>
      </c>
      <c r="P149" s="4" t="inlineStr">
        <is>
          <t>Mixed</t>
        </is>
      </c>
      <c r="Q149" s="8" t="n">
        <v>105000</v>
      </c>
      <c r="R149" s="4" t="n">
        <v>4</v>
      </c>
      <c r="S149" s="4">
        <f>IF(ISNUMBER(M149), M149&lt;10, FALSE)</f>
        <v/>
      </c>
      <c r="T149" s="4">
        <f>IF(AND(F149="R", S149=TRUE), "High-D-Recruit", IF(O149="Open", "Open-Seat", IF(S149=TRUE, "Monitor", "Low")))</f>
        <v/>
      </c>
      <c r="U149" s="4">
        <f>IF(F149="R", TRUE, FALSE)</f>
        <v/>
      </c>
      <c r="V149" s="4">
        <f>IF(R149&gt;=7, "High", IF(R149&gt;=4, "Medium", "Low"))</f>
        <v/>
      </c>
    </row>
    <row r="150">
      <c r="A150" s="4" t="inlineStr">
        <is>
          <t>SC-Senate-025</t>
        </is>
      </c>
      <c r="B150" s="4" t="inlineStr">
        <is>
          <t>Senate District 25</t>
        </is>
      </c>
      <c r="C150" s="4" t="inlineStr">
        <is>
          <t>Senate</t>
        </is>
      </c>
      <c r="D150" s="4" t="n">
        <v>25</v>
      </c>
      <c r="E150" s="4" t="inlineStr">
        <is>
          <t>A. Shane Massey</t>
        </is>
      </c>
      <c r="F150" s="4" t="inlineStr">
        <is>
          <t>R</t>
        </is>
      </c>
      <c r="G150" s="4" t="n">
        <v>2016</v>
      </c>
      <c r="H150" s="4" t="n">
        <v>2028</v>
      </c>
      <c r="I150" s="4" t="inlineStr">
        <is>
          <t>Aiken</t>
        </is>
      </c>
      <c r="J150" s="4" t="inlineStr">
        <is>
          <t>Aiken, Edgefield</t>
        </is>
      </c>
      <c r="K150" s="4" t="inlineStr">
        <is>
          <t>Midlands</t>
        </is>
      </c>
      <c r="L150" s="4" t="n">
        <v>2</v>
      </c>
      <c r="M150" s="7" t="n">
        <v>13</v>
      </c>
      <c r="N150" s="8" t="n">
        <v>37537</v>
      </c>
      <c r="O150" s="4" t="inlineStr">
        <is>
          <t>Veteran</t>
        </is>
      </c>
      <c r="P150" s="4" t="inlineStr">
        <is>
          <t>Mixed</t>
        </is>
      </c>
      <c r="Q150" s="8" t="n">
        <v>105000</v>
      </c>
      <c r="R150" s="4" t="n">
        <v>4</v>
      </c>
      <c r="S150" s="4">
        <f>IF(ISNUMBER(M150), M150&lt;10, FALSE)</f>
        <v/>
      </c>
      <c r="T150" s="4">
        <f>IF(AND(F150="R", S150=TRUE), "High-D-Recruit", IF(O150="Open", "Open-Seat", IF(S150=TRUE, "Monitor", "Low")))</f>
        <v/>
      </c>
      <c r="U150" s="4">
        <f>IF(F150="R", TRUE, FALSE)</f>
        <v/>
      </c>
      <c r="V150" s="4">
        <f>IF(R150&gt;=7, "High", IF(R150&gt;=4, "Medium", "Low"))</f>
        <v/>
      </c>
    </row>
    <row r="151">
      <c r="A151" s="4" t="inlineStr">
        <is>
          <t>SC-Senate-026</t>
        </is>
      </c>
      <c r="B151" s="4" t="inlineStr">
        <is>
          <t>Senate District 26</t>
        </is>
      </c>
      <c r="C151" s="4" t="inlineStr">
        <is>
          <t>Senate</t>
        </is>
      </c>
      <c r="D151" s="4" t="n">
        <v>26</v>
      </c>
      <c r="E151" s="4" t="inlineStr">
        <is>
          <t>Russell L. Ott</t>
        </is>
      </c>
      <c r="F151" s="4" t="inlineStr">
        <is>
          <t>D</t>
        </is>
      </c>
      <c r="G151" s="4" t="n">
        <v>2012</v>
      </c>
      <c r="H151" s="4" t="n">
        <v>2026</v>
      </c>
      <c r="I151" s="4" t="inlineStr">
        <is>
          <t>Calhoun</t>
        </is>
      </c>
      <c r="J151" s="4" t="inlineStr">
        <is>
          <t>Calhoun, Orangeburg</t>
        </is>
      </c>
      <c r="K151" s="4" t="inlineStr">
        <is>
          <t>Midlands</t>
        </is>
      </c>
      <c r="L151" s="4" t="n">
        <v>3</v>
      </c>
      <c r="M151" s="4" t="inlineStr">
        <is>
          <t>Unopposed</t>
        </is>
      </c>
      <c r="N151" s="8" t="n">
        <v>37288</v>
      </c>
      <c r="O151" s="4" t="inlineStr">
        <is>
          <t>Veteran</t>
        </is>
      </c>
      <c r="P151" s="4" t="inlineStr">
        <is>
          <t>Rural</t>
        </is>
      </c>
      <c r="Q151" s="8" t="n">
        <v>105000</v>
      </c>
      <c r="R151" s="4" t="n">
        <v>1</v>
      </c>
      <c r="S151" s="4">
        <f>IF(ISNUMBER(M151), M151&lt;10, FALSE)</f>
        <v/>
      </c>
      <c r="T151" s="4">
        <f>IF(AND(F151="R", S151=TRUE), "High-D-Recruit", IF(O151="Open", "Open-Seat", IF(S151=TRUE, "Monitor", "Low")))</f>
        <v/>
      </c>
      <c r="U151" s="4">
        <f>IF(F151="R", TRUE, FALSE)</f>
        <v/>
      </c>
      <c r="V151" s="4">
        <f>IF(R151&gt;=7, "High", IF(R151&gt;=4, "Medium", "Low"))</f>
        <v/>
      </c>
    </row>
    <row r="152">
      <c r="A152" s="4" t="inlineStr">
        <is>
          <t>SC-Senate-027</t>
        </is>
      </c>
      <c r="B152" s="4" t="inlineStr">
        <is>
          <t>Senate District 27</t>
        </is>
      </c>
      <c r="C152" s="4" t="inlineStr">
        <is>
          <t>Senate</t>
        </is>
      </c>
      <c r="D152" s="4" t="n">
        <v>27</v>
      </c>
      <c r="E152" s="4" t="inlineStr">
        <is>
          <t>Allen Blackmon</t>
        </is>
      </c>
      <c r="F152" s="4" t="inlineStr">
        <is>
          <t>R</t>
        </is>
      </c>
      <c r="G152" s="4" t="n">
        <v>2022</v>
      </c>
      <c r="H152" s="4" t="n">
        <v>2028</v>
      </c>
      <c r="I152" s="4" t="inlineStr">
        <is>
          <t>Sumter</t>
        </is>
      </c>
      <c r="J152" s="4" t="inlineStr">
        <is>
          <t>Sumter, Clarendon</t>
        </is>
      </c>
      <c r="K152" s="4" t="inlineStr">
        <is>
          <t>Pee Dee</t>
        </is>
      </c>
      <c r="L152" s="4" t="n">
        <v>1</v>
      </c>
      <c r="M152" s="7" t="n">
        <v>7.8</v>
      </c>
      <c r="N152" s="8" t="n">
        <v>65166</v>
      </c>
      <c r="O152" s="4" t="inlineStr">
        <is>
          <t>First-term</t>
        </is>
      </c>
      <c r="P152" s="4" t="inlineStr">
        <is>
          <t>Mixed</t>
        </is>
      </c>
      <c r="Q152" s="8" t="n">
        <v>105000</v>
      </c>
      <c r="R152" s="4" t="n">
        <v>6</v>
      </c>
      <c r="S152" s="4">
        <f>IF(ISNUMBER(M152), M152&lt;10, FALSE)</f>
        <v/>
      </c>
      <c r="T152" s="4">
        <f>IF(AND(F152="R", S152=TRUE), "High-D-Recruit", IF(O152="Open", "Open-Seat", IF(S152=TRUE, "Monitor", "Low")))</f>
        <v/>
      </c>
      <c r="U152" s="4">
        <f>IF(F152="R", TRUE, FALSE)</f>
        <v/>
      </c>
      <c r="V152" s="4">
        <f>IF(R152&gt;=7, "High", IF(R152&gt;=4, "Medium", "Low"))</f>
        <v/>
      </c>
    </row>
    <row r="153">
      <c r="A153" s="4" t="inlineStr">
        <is>
          <t>SC-Senate-028</t>
        </is>
      </c>
      <c r="B153" s="4" t="inlineStr">
        <is>
          <t>Senate District 28</t>
        </is>
      </c>
      <c r="C153" s="4" t="inlineStr">
        <is>
          <t>Senate</t>
        </is>
      </c>
      <c r="D153" s="4" t="n">
        <v>28</v>
      </c>
      <c r="E153" s="4" t="inlineStr">
        <is>
          <t>Greg Hembree</t>
        </is>
      </c>
      <c r="F153" s="4" t="inlineStr">
        <is>
          <t>R</t>
        </is>
      </c>
      <c r="G153" s="4" t="n">
        <v>2020</v>
      </c>
      <c r="H153" s="4" t="n">
        <v>2026</v>
      </c>
      <c r="I153" s="4" t="inlineStr">
        <is>
          <t>Horry</t>
        </is>
      </c>
      <c r="J153" s="4" t="inlineStr">
        <is>
          <t>Horry</t>
        </is>
      </c>
      <c r="K153" s="4" t="inlineStr">
        <is>
          <t>Pee Dee</t>
        </is>
      </c>
      <c r="L153" s="4" t="n">
        <v>1</v>
      </c>
      <c r="M153" s="7" t="n">
        <v>19.8</v>
      </c>
      <c r="N153" s="8" t="n">
        <v>49609</v>
      </c>
      <c r="O153" s="4" t="inlineStr">
        <is>
          <t>First-term</t>
        </is>
      </c>
      <c r="P153" s="4" t="inlineStr">
        <is>
          <t>Suburban</t>
        </is>
      </c>
      <c r="Q153" s="8" t="n">
        <v>105000</v>
      </c>
      <c r="R153" s="4" t="n">
        <v>5</v>
      </c>
      <c r="S153" s="4">
        <f>IF(ISNUMBER(M153), M153&lt;10, FALSE)</f>
        <v/>
      </c>
      <c r="T153" s="4">
        <f>IF(AND(F153="R", S153=TRUE), "High-D-Recruit", IF(O153="Open", "Open-Seat", IF(S153=TRUE, "Monitor", "Low")))</f>
        <v/>
      </c>
      <c r="U153" s="4">
        <f>IF(F153="R", TRUE, FALSE)</f>
        <v/>
      </c>
      <c r="V153" s="4">
        <f>IF(R153&gt;=7, "High", IF(R153&gt;=4, "Medium", "Low"))</f>
        <v/>
      </c>
    </row>
    <row r="154">
      <c r="A154" s="4" t="inlineStr">
        <is>
          <t>SC-Senate-029</t>
        </is>
      </c>
      <c r="B154" s="4" t="inlineStr">
        <is>
          <t>Senate District 29</t>
        </is>
      </c>
      <c r="C154" s="4" t="inlineStr">
        <is>
          <t>Senate</t>
        </is>
      </c>
      <c r="D154" s="4" t="n">
        <v>29</v>
      </c>
      <c r="E154" s="4" t="inlineStr">
        <is>
          <t>JD Chaplin</t>
        </is>
      </c>
      <c r="F154" s="4" t="inlineStr">
        <is>
          <t>R</t>
        </is>
      </c>
      <c r="G154" s="4" t="n">
        <v>2024</v>
      </c>
      <c r="H154" s="4" t="n">
        <v>2028</v>
      </c>
      <c r="I154" s="4" t="inlineStr">
        <is>
          <t>Florence</t>
        </is>
      </c>
      <c r="J154" s="4" t="inlineStr">
        <is>
          <t>Florence, Darlington</t>
        </is>
      </c>
      <c r="K154" s="4" t="inlineStr">
        <is>
          <t>Pee Dee</t>
        </is>
      </c>
      <c r="L154" s="4" t="n">
        <v>0</v>
      </c>
      <c r="M154" s="7" t="n">
        <v>4.5</v>
      </c>
      <c r="N154" s="8" t="n">
        <v>47656</v>
      </c>
      <c r="O154" s="4" t="inlineStr">
        <is>
          <t>First-term</t>
        </is>
      </c>
      <c r="P154" s="4" t="inlineStr">
        <is>
          <t>Mixed</t>
        </is>
      </c>
      <c r="Q154" s="8" t="n">
        <v>105000</v>
      </c>
      <c r="R154" s="4" t="n">
        <v>7</v>
      </c>
      <c r="S154" s="4">
        <f>IF(ISNUMBER(M154), M154&lt;10, FALSE)</f>
        <v/>
      </c>
      <c r="T154" s="4">
        <f>IF(AND(F154="R", S154=TRUE), "High-D-Recruit", IF(O154="Open", "Open-Seat", IF(S154=TRUE, "Monitor", "Low")))</f>
        <v/>
      </c>
      <c r="U154" s="4">
        <f>IF(F154="R", TRUE, FALSE)</f>
        <v/>
      </c>
      <c r="V154" s="4">
        <f>IF(R154&gt;=7, "High", IF(R154&gt;=4, "Medium", "Low"))</f>
        <v/>
      </c>
    </row>
    <row r="155">
      <c r="A155" s="4" t="inlineStr">
        <is>
          <t>SC-Senate-030</t>
        </is>
      </c>
      <c r="B155" s="4" t="inlineStr">
        <is>
          <t>Senate District 30</t>
        </is>
      </c>
      <c r="C155" s="4" t="inlineStr">
        <is>
          <t>Senate</t>
        </is>
      </c>
      <c r="D155" s="4" t="n">
        <v>30</v>
      </c>
      <c r="E155" s="4" t="inlineStr">
        <is>
          <t>Kent M. Williams</t>
        </is>
      </c>
      <c r="F155" s="4" t="inlineStr">
        <is>
          <t>D</t>
        </is>
      </c>
      <c r="G155" s="4" t="n">
        <v>2024</v>
      </c>
      <c r="H155" s="4" t="n">
        <v>2026</v>
      </c>
      <c r="I155" s="4" t="inlineStr">
        <is>
          <t>Williamsburg</t>
        </is>
      </c>
      <c r="J155" s="4" t="inlineStr">
        <is>
          <t>Williamsburg, Florence, Georgetown</t>
        </is>
      </c>
      <c r="K155" s="4" t="inlineStr">
        <is>
          <t>Pee Dee</t>
        </is>
      </c>
      <c r="L155" s="4" t="n">
        <v>0</v>
      </c>
      <c r="M155" s="7" t="n">
        <v>11.4</v>
      </c>
      <c r="N155" s="8" t="n">
        <v>53292</v>
      </c>
      <c r="O155" s="4" t="inlineStr">
        <is>
          <t>First-term</t>
        </is>
      </c>
      <c r="P155" s="4" t="inlineStr">
        <is>
          <t>Rural</t>
        </is>
      </c>
      <c r="Q155" s="8" t="n">
        <v>105000</v>
      </c>
      <c r="R155" s="4" t="n">
        <v>3</v>
      </c>
      <c r="S155" s="4">
        <f>IF(ISNUMBER(M155), M155&lt;10, FALSE)</f>
        <v/>
      </c>
      <c r="T155" s="4">
        <f>IF(AND(F155="R", S155=TRUE), "High-D-Recruit", IF(O155="Open", "Open-Seat", IF(S155=TRUE, "Monitor", "Low")))</f>
        <v/>
      </c>
      <c r="U155" s="4">
        <f>IF(F155="R", TRUE, FALSE)</f>
        <v/>
      </c>
      <c r="V155" s="4">
        <f>IF(R155&gt;=7, "High", IF(R155&gt;=4, "Medium", "Low"))</f>
        <v/>
      </c>
    </row>
    <row r="156">
      <c r="A156" s="4" t="inlineStr">
        <is>
          <t>SC-Senate-031</t>
        </is>
      </c>
      <c r="B156" s="4" t="inlineStr">
        <is>
          <t>Senate District 31</t>
        </is>
      </c>
      <c r="C156" s="4" t="inlineStr">
        <is>
          <t>Senate</t>
        </is>
      </c>
      <c r="D156" s="4" t="n">
        <v>31</v>
      </c>
      <c r="E156" s="4" t="inlineStr">
        <is>
          <t>Mike Reichenbach</t>
        </is>
      </c>
      <c r="F156" s="4" t="inlineStr">
        <is>
          <t>R</t>
        </is>
      </c>
      <c r="G156" s="4" t="n">
        <v>2024</v>
      </c>
      <c r="H156" s="4" t="n">
        <v>2028</v>
      </c>
      <c r="I156" s="4" t="inlineStr">
        <is>
          <t>Horry</t>
        </is>
      </c>
      <c r="J156" s="4" t="inlineStr">
        <is>
          <t>Horry</t>
        </is>
      </c>
      <c r="K156" s="4" t="inlineStr">
        <is>
          <t>Pee Dee</t>
        </is>
      </c>
      <c r="L156" s="4" t="n">
        <v>0</v>
      </c>
      <c r="M156" s="7" t="n">
        <v>15.4</v>
      </c>
      <c r="N156" s="8" t="n">
        <v>68384</v>
      </c>
      <c r="O156" s="4" t="inlineStr">
        <is>
          <t>First-term</t>
        </is>
      </c>
      <c r="P156" s="4" t="inlineStr">
        <is>
          <t>Suburban</t>
        </is>
      </c>
      <c r="Q156" s="8" t="n">
        <v>105000</v>
      </c>
      <c r="R156" s="4" t="n">
        <v>5</v>
      </c>
      <c r="S156" s="4">
        <f>IF(ISNUMBER(M156), M156&lt;10, FALSE)</f>
        <v/>
      </c>
      <c r="T156" s="4">
        <f>IF(AND(F156="R", S156=TRUE), "High-D-Recruit", IF(O156="Open", "Open-Seat", IF(S156=TRUE, "Monitor", "Low")))</f>
        <v/>
      </c>
      <c r="U156" s="4">
        <f>IF(F156="R", TRUE, FALSE)</f>
        <v/>
      </c>
      <c r="V156" s="4">
        <f>IF(R156&gt;=7, "High", IF(R156&gt;=4, "Medium", "Low"))</f>
        <v/>
      </c>
    </row>
    <row r="157">
      <c r="A157" s="4" t="inlineStr">
        <is>
          <t>SC-Senate-032</t>
        </is>
      </c>
      <c r="B157" s="4" t="inlineStr">
        <is>
          <t>Senate District 32</t>
        </is>
      </c>
      <c r="C157" s="4" t="inlineStr">
        <is>
          <t>Senate</t>
        </is>
      </c>
      <c r="D157" s="4" t="n">
        <v>32</v>
      </c>
      <c r="E157" s="4" t="inlineStr">
        <is>
          <t>Ronnie A. Sabb</t>
        </is>
      </c>
      <c r="F157" s="4" t="inlineStr">
        <is>
          <t>D</t>
        </is>
      </c>
      <c r="G157" s="4" t="n">
        <v>2008</v>
      </c>
      <c r="H157" s="4" t="n">
        <v>2026</v>
      </c>
      <c r="I157" s="4" t="inlineStr">
        <is>
          <t>Marion</t>
        </is>
      </c>
      <c r="J157" s="4" t="inlineStr">
        <is>
          <t>Marion, Dillon, Marlboro, Darlington</t>
        </is>
      </c>
      <c r="K157" s="4" t="inlineStr">
        <is>
          <t>Pee Dee</t>
        </is>
      </c>
      <c r="L157" s="4" t="n">
        <v>4</v>
      </c>
      <c r="M157" s="7" t="n">
        <v>23.1</v>
      </c>
      <c r="N157" s="8" t="n">
        <v>36808</v>
      </c>
      <c r="O157" s="4" t="inlineStr">
        <is>
          <t>Veteran</t>
        </is>
      </c>
      <c r="P157" s="4" t="inlineStr">
        <is>
          <t>Rural</t>
        </is>
      </c>
      <c r="Q157" s="8" t="n">
        <v>105000</v>
      </c>
      <c r="R157" s="4" t="n">
        <v>2</v>
      </c>
      <c r="S157" s="4">
        <f>IF(ISNUMBER(M157), M157&lt;10, FALSE)</f>
        <v/>
      </c>
      <c r="T157" s="4">
        <f>IF(AND(F157="R", S157=TRUE), "High-D-Recruit", IF(O157="Open", "Open-Seat", IF(S157=TRUE, "Monitor", "Low")))</f>
        <v/>
      </c>
      <c r="U157" s="4">
        <f>IF(F157="R", TRUE, FALSE)</f>
        <v/>
      </c>
      <c r="V157" s="4">
        <f>IF(R157&gt;=7, "High", IF(R157&gt;=4, "Medium", "Low"))</f>
        <v/>
      </c>
    </row>
    <row r="158">
      <c r="A158" s="4" t="inlineStr">
        <is>
          <t>SC-Senate-033</t>
        </is>
      </c>
      <c r="B158" s="4" t="inlineStr">
        <is>
          <t>Senate District 33</t>
        </is>
      </c>
      <c r="C158" s="4" t="inlineStr">
        <is>
          <t>Senate</t>
        </is>
      </c>
      <c r="D158" s="4" t="n">
        <v>33</v>
      </c>
      <c r="E158" s="4" t="inlineStr">
        <is>
          <t>Luke A. Rankin</t>
        </is>
      </c>
      <c r="F158" s="4" t="inlineStr">
        <is>
          <t>R</t>
        </is>
      </c>
      <c r="G158" s="4" t="n">
        <v>2002</v>
      </c>
      <c r="H158" s="4" t="n">
        <v>2028</v>
      </c>
      <c r="I158" s="4" t="inlineStr">
        <is>
          <t>Horry</t>
        </is>
      </c>
      <c r="J158" s="4" t="inlineStr">
        <is>
          <t>Horry, Georgetown</t>
        </is>
      </c>
      <c r="K158" s="4" t="inlineStr">
        <is>
          <t>Pee Dee</t>
        </is>
      </c>
      <c r="L158" s="4" t="n">
        <v>6</v>
      </c>
      <c r="M158" s="7" t="n">
        <v>10.7</v>
      </c>
      <c r="N158" s="8" t="n">
        <v>52118</v>
      </c>
      <c r="O158" s="4" t="inlineStr">
        <is>
          <t>Long-serving</t>
        </is>
      </c>
      <c r="P158" s="4" t="inlineStr">
        <is>
          <t>Suburban</t>
        </is>
      </c>
      <c r="Q158" s="8" t="n">
        <v>105000</v>
      </c>
      <c r="R158" s="4" t="n">
        <v>3</v>
      </c>
      <c r="S158" s="4">
        <f>IF(ISNUMBER(M158), M158&lt;10, FALSE)</f>
        <v/>
      </c>
      <c r="T158" s="4">
        <f>IF(AND(F158="R", S158=TRUE), "High-D-Recruit", IF(O158="Open", "Open-Seat", IF(S158=TRUE, "Monitor", "Low")))</f>
        <v/>
      </c>
      <c r="U158" s="4">
        <f>IF(F158="R", TRUE, FALSE)</f>
        <v/>
      </c>
      <c r="V158" s="4">
        <f>IF(R158&gt;=7, "High", IF(R158&gt;=4, "Medium", "Low"))</f>
        <v/>
      </c>
    </row>
    <row r="159">
      <c r="A159" s="4" t="inlineStr">
        <is>
          <t>SC-Senate-034</t>
        </is>
      </c>
      <c r="B159" s="4" t="inlineStr">
        <is>
          <t>Senate District 34</t>
        </is>
      </c>
      <c r="C159" s="4" t="inlineStr">
        <is>
          <t>Senate</t>
        </is>
      </c>
      <c r="D159" s="4" t="n">
        <v>34</v>
      </c>
      <c r="E159" s="4" t="inlineStr">
        <is>
          <t>Stephen L. Goldfinch</t>
        </is>
      </c>
      <c r="F159" s="4" t="inlineStr">
        <is>
          <t>R</t>
        </is>
      </c>
      <c r="G159" s="4" t="n">
        <v>2016</v>
      </c>
      <c r="H159" s="4" t="n">
        <v>2026</v>
      </c>
      <c r="I159" s="4" t="inlineStr">
        <is>
          <t>Georgetown</t>
        </is>
      </c>
      <c r="J159" s="4" t="inlineStr">
        <is>
          <t>Georgetown, Charleston</t>
        </is>
      </c>
      <c r="K159" s="4" t="inlineStr">
        <is>
          <t>Pee Dee</t>
        </is>
      </c>
      <c r="L159" s="4" t="n">
        <v>2</v>
      </c>
      <c r="M159" s="7" t="n">
        <v>18.9</v>
      </c>
      <c r="N159" s="8" t="n">
        <v>42104</v>
      </c>
      <c r="O159" s="4" t="inlineStr">
        <is>
          <t>Veteran</t>
        </is>
      </c>
      <c r="P159" s="4" t="inlineStr">
        <is>
          <t>Mixed</t>
        </is>
      </c>
      <c r="Q159" s="8" t="n">
        <v>105000</v>
      </c>
      <c r="R159" s="4" t="n">
        <v>4</v>
      </c>
      <c r="S159" s="4">
        <f>IF(ISNUMBER(M159), M159&lt;10, FALSE)</f>
        <v/>
      </c>
      <c r="T159" s="4">
        <f>IF(AND(F159="R", S159=TRUE), "High-D-Recruit", IF(O159="Open", "Open-Seat", IF(S159=TRUE, "Monitor", "Low")))</f>
        <v/>
      </c>
      <c r="U159" s="4">
        <f>IF(F159="R", TRUE, FALSE)</f>
        <v/>
      </c>
      <c r="V159" s="4">
        <f>IF(R159&gt;=7, "High", IF(R159&gt;=4, "Medium", "Low"))</f>
        <v/>
      </c>
    </row>
    <row r="160">
      <c r="A160" s="4" t="inlineStr">
        <is>
          <t>SC-Senate-035</t>
        </is>
      </c>
      <c r="B160" s="4" t="inlineStr">
        <is>
          <t>Senate District 35</t>
        </is>
      </c>
      <c r="C160" s="4" t="inlineStr">
        <is>
          <t>Senate</t>
        </is>
      </c>
      <c r="D160" s="4" t="n">
        <v>35</v>
      </c>
      <c r="E160" s="4" t="inlineStr">
        <is>
          <t>Jeffrey R. Graham</t>
        </is>
      </c>
      <c r="F160" s="4" t="inlineStr">
        <is>
          <t>D</t>
        </is>
      </c>
      <c r="G160" s="4" t="n">
        <v>2022</v>
      </c>
      <c r="H160" s="4" t="n">
        <v>2028</v>
      </c>
      <c r="I160" s="4" t="inlineStr">
        <is>
          <t>Chesterfield</t>
        </is>
      </c>
      <c r="J160" s="4" t="inlineStr">
        <is>
          <t>Chesterfield, Kershaw, Lancaster</t>
        </is>
      </c>
      <c r="K160" s="4" t="inlineStr">
        <is>
          <t>Pee Dee</t>
        </is>
      </c>
      <c r="L160" s="4" t="n">
        <v>1</v>
      </c>
      <c r="M160" s="7" t="n">
        <v>10.4</v>
      </c>
      <c r="N160" s="8" t="n">
        <v>57654</v>
      </c>
      <c r="O160" s="4" t="inlineStr">
        <is>
          <t>First-term</t>
        </is>
      </c>
      <c r="P160" s="4" t="inlineStr">
        <is>
          <t>Rural</t>
        </is>
      </c>
      <c r="Q160" s="8" t="n">
        <v>105000</v>
      </c>
      <c r="R160" s="4" t="n">
        <v>3</v>
      </c>
      <c r="S160" s="4">
        <f>IF(ISNUMBER(M160), M160&lt;10, FALSE)</f>
        <v/>
      </c>
      <c r="T160" s="4">
        <f>IF(AND(F160="R", S160=TRUE), "High-D-Recruit", IF(O160="Open", "Open-Seat", IF(S160=TRUE, "Monitor", "Low")))</f>
        <v/>
      </c>
      <c r="U160" s="4">
        <f>IF(F160="R", TRUE, FALSE)</f>
        <v/>
      </c>
      <c r="V160" s="4">
        <f>IF(R160&gt;=7, "High", IF(R160&gt;=4, "Medium", "Low"))</f>
        <v/>
      </c>
    </row>
    <row r="161">
      <c r="A161" s="4" t="inlineStr">
        <is>
          <t>SC-Senate-036</t>
        </is>
      </c>
      <c r="B161" s="4" t="inlineStr">
        <is>
          <t>Senate District 36</t>
        </is>
      </c>
      <c r="C161" s="4" t="inlineStr">
        <is>
          <t>Senate</t>
        </is>
      </c>
      <c r="D161" s="4" t="n">
        <v>36</v>
      </c>
      <c r="E161" s="4" t="inlineStr">
        <is>
          <t>Jeff Zell</t>
        </is>
      </c>
      <c r="F161" s="4" t="inlineStr">
        <is>
          <t>R</t>
        </is>
      </c>
      <c r="G161" s="4" t="n">
        <v>2018</v>
      </c>
      <c r="H161" s="4" t="n">
        <v>2026</v>
      </c>
      <c r="I161" s="4" t="inlineStr">
        <is>
          <t>Lee</t>
        </is>
      </c>
      <c r="J161" s="4" t="inlineStr">
        <is>
          <t>Lee, Sumter, Kershaw</t>
        </is>
      </c>
      <c r="K161" s="4" t="inlineStr">
        <is>
          <t>Pee Dee</t>
        </is>
      </c>
      <c r="L161" s="4" t="n">
        <v>2</v>
      </c>
      <c r="M161" s="4" t="inlineStr">
        <is>
          <t>Unopposed</t>
        </is>
      </c>
      <c r="N161" s="8" t="n">
        <v>40278</v>
      </c>
      <c r="O161" s="4" t="inlineStr">
        <is>
          <t>Veteran</t>
        </is>
      </c>
      <c r="P161" s="4" t="inlineStr">
        <is>
          <t>Rural</t>
        </is>
      </c>
      <c r="Q161" s="8" t="n">
        <v>105000</v>
      </c>
      <c r="R161" s="4" t="n">
        <v>3</v>
      </c>
      <c r="S161" s="4">
        <f>IF(ISNUMBER(M161), M161&lt;10, FALSE)</f>
        <v/>
      </c>
      <c r="T161" s="4">
        <f>IF(AND(F161="R", S161=TRUE), "High-D-Recruit", IF(O161="Open", "Open-Seat", IF(S161=TRUE, "Monitor", "Low")))</f>
        <v/>
      </c>
      <c r="U161" s="4">
        <f>IF(F161="R", TRUE, FALSE)</f>
        <v/>
      </c>
      <c r="V161" s="4">
        <f>IF(R161&gt;=7, "High", IF(R161&gt;=4, "Medium", "Low"))</f>
        <v/>
      </c>
    </row>
    <row r="162">
      <c r="A162" s="4" t="inlineStr">
        <is>
          <t>SC-Senate-037</t>
        </is>
      </c>
      <c r="B162" s="4" t="inlineStr">
        <is>
          <t>Senate District 37</t>
        </is>
      </c>
      <c r="C162" s="4" t="inlineStr">
        <is>
          <t>Senate</t>
        </is>
      </c>
      <c r="D162" s="4" t="n">
        <v>37</v>
      </c>
      <c r="E162" s="4" t="inlineStr">
        <is>
          <t>Lawrence K. "Larry" Grooms</t>
        </is>
      </c>
      <c r="F162" s="4" t="inlineStr">
        <is>
          <t>R</t>
        </is>
      </c>
      <c r="G162" s="4" t="n">
        <v>2024</v>
      </c>
      <c r="H162" s="4" t="n">
        <v>2028</v>
      </c>
      <c r="I162" s="4" t="inlineStr">
        <is>
          <t>Berkeley</t>
        </is>
      </c>
      <c r="J162" s="4" t="inlineStr">
        <is>
          <t>Berkeley, Dorchester</t>
        </is>
      </c>
      <c r="K162" s="4" t="inlineStr">
        <is>
          <t>Lowcountry</t>
        </is>
      </c>
      <c r="L162" s="4" t="n">
        <v>0</v>
      </c>
      <c r="M162" s="7" t="n">
        <v>16.4</v>
      </c>
      <c r="N162" s="8" t="n">
        <v>72787</v>
      </c>
      <c r="O162" s="4" t="inlineStr">
        <is>
          <t>First-term</t>
        </is>
      </c>
      <c r="P162" s="4" t="inlineStr">
        <is>
          <t>Suburban</t>
        </is>
      </c>
      <c r="Q162" s="8" t="n">
        <v>105000</v>
      </c>
      <c r="R162" s="4" t="n">
        <v>5</v>
      </c>
      <c r="S162" s="4">
        <f>IF(ISNUMBER(M162), M162&lt;10, FALSE)</f>
        <v/>
      </c>
      <c r="T162" s="4">
        <f>IF(AND(F162="R", S162=TRUE), "High-D-Recruit", IF(O162="Open", "Open-Seat", IF(S162=TRUE, "Monitor", "Low")))</f>
        <v/>
      </c>
      <c r="U162" s="4">
        <f>IF(F162="R", TRUE, FALSE)</f>
        <v/>
      </c>
      <c r="V162" s="4">
        <f>IF(R162&gt;=7, "High", IF(R162&gt;=4, "Medium", "Low"))</f>
        <v/>
      </c>
    </row>
    <row r="163">
      <c r="A163" s="4" t="inlineStr">
        <is>
          <t>SC-Senate-038</t>
        </is>
      </c>
      <c r="B163" s="4" t="inlineStr">
        <is>
          <t>Senate District 38</t>
        </is>
      </c>
      <c r="C163" s="4" t="inlineStr">
        <is>
          <t>Senate</t>
        </is>
      </c>
      <c r="D163" s="4" t="n">
        <v>38</v>
      </c>
      <c r="E163" s="4" t="inlineStr">
        <is>
          <t>Sean M. Bennett</t>
        </is>
      </c>
      <c r="F163" s="4" t="inlineStr">
        <is>
          <t>R</t>
        </is>
      </c>
      <c r="G163" s="4" t="n">
        <v>2012</v>
      </c>
      <c r="H163" s="4" t="n">
        <v>2026</v>
      </c>
      <c r="I163" s="4" t="inlineStr">
        <is>
          <t>Dorchester</t>
        </is>
      </c>
      <c r="J163" s="4" t="inlineStr">
        <is>
          <t>Dorchester, Charleston</t>
        </is>
      </c>
      <c r="K163" s="4" t="inlineStr">
        <is>
          <t>Lowcountry</t>
        </is>
      </c>
      <c r="L163" s="4" t="n">
        <v>3</v>
      </c>
      <c r="M163" s="7" t="n">
        <v>11.6</v>
      </c>
      <c r="N163" s="8" t="n">
        <v>37908</v>
      </c>
      <c r="O163" s="4" t="inlineStr">
        <is>
          <t>Veteran</t>
        </is>
      </c>
      <c r="P163" s="4" t="inlineStr">
        <is>
          <t>Suburban</t>
        </is>
      </c>
      <c r="Q163" s="8" t="n">
        <v>105000</v>
      </c>
      <c r="R163" s="4" t="n">
        <v>4</v>
      </c>
      <c r="S163" s="4">
        <f>IF(ISNUMBER(M163), M163&lt;10, FALSE)</f>
        <v/>
      </c>
      <c r="T163" s="4">
        <f>IF(AND(F163="R", S163=TRUE), "High-D-Recruit", IF(O163="Open", "Open-Seat", IF(S163=TRUE, "Monitor", "Low")))</f>
        <v/>
      </c>
      <c r="U163" s="4">
        <f>IF(F163="R", TRUE, FALSE)</f>
        <v/>
      </c>
      <c r="V163" s="4">
        <f>IF(R163&gt;=7, "High", IF(R163&gt;=4, "Medium", "Low"))</f>
        <v/>
      </c>
    </row>
    <row r="164">
      <c r="A164" s="4" t="inlineStr">
        <is>
          <t>SC-Senate-039</t>
        </is>
      </c>
      <c r="B164" s="4" t="inlineStr">
        <is>
          <t>Senate District 39</t>
        </is>
      </c>
      <c r="C164" s="4" t="inlineStr">
        <is>
          <t>Senate</t>
        </is>
      </c>
      <c r="D164" s="4" t="n">
        <v>39</v>
      </c>
      <c r="E164" s="4" t="inlineStr">
        <is>
          <t>Tom Fernandez</t>
        </is>
      </c>
      <c r="F164" s="4" t="inlineStr">
        <is>
          <t>R</t>
        </is>
      </c>
      <c r="G164" s="4" t="n">
        <v>2010</v>
      </c>
      <c r="H164" s="4" t="n">
        <v>2028</v>
      </c>
      <c r="I164" s="4" t="inlineStr">
        <is>
          <t>Berkeley</t>
        </is>
      </c>
      <c r="J164" s="4" t="inlineStr">
        <is>
          <t>Berkeley</t>
        </is>
      </c>
      <c r="K164" s="4" t="inlineStr">
        <is>
          <t>Lowcountry</t>
        </is>
      </c>
      <c r="L164" s="4" t="n">
        <v>4</v>
      </c>
      <c r="M164" s="4" t="inlineStr">
        <is>
          <t>Unopposed</t>
        </is>
      </c>
      <c r="N164" s="8" t="n">
        <v>30055</v>
      </c>
      <c r="O164" s="4" t="inlineStr">
        <is>
          <t>Veteran</t>
        </is>
      </c>
      <c r="P164" s="4" t="inlineStr">
        <is>
          <t>Suburban</t>
        </is>
      </c>
      <c r="Q164" s="8" t="n">
        <v>105000</v>
      </c>
      <c r="R164" s="4" t="n">
        <v>3</v>
      </c>
      <c r="S164" s="4">
        <f>IF(ISNUMBER(M164), M164&lt;10, FALSE)</f>
        <v/>
      </c>
      <c r="T164" s="4">
        <f>IF(AND(F164="R", S164=TRUE), "High-D-Recruit", IF(O164="Open", "Open-Seat", IF(S164=TRUE, "Monitor", "Low")))</f>
        <v/>
      </c>
      <c r="U164" s="4">
        <f>IF(F164="R", TRUE, FALSE)</f>
        <v/>
      </c>
      <c r="V164" s="4">
        <f>IF(R164&gt;=7, "High", IF(R164&gt;=4, "Medium", "Low"))</f>
        <v/>
      </c>
    </row>
    <row r="165">
      <c r="A165" s="4" t="inlineStr">
        <is>
          <t>SC-Senate-040</t>
        </is>
      </c>
      <c r="B165" s="4" t="inlineStr">
        <is>
          <t>Senate District 40</t>
        </is>
      </c>
      <c r="C165" s="4" t="inlineStr">
        <is>
          <t>Senate</t>
        </is>
      </c>
      <c r="D165" s="4" t="n">
        <v>40</v>
      </c>
      <c r="E165" s="4" t="inlineStr">
        <is>
          <t>Brad Hutto</t>
        </is>
      </c>
      <c r="F165" s="4" t="inlineStr">
        <is>
          <t>D</t>
        </is>
      </c>
      <c r="G165" s="4" t="n">
        <v>2018</v>
      </c>
      <c r="H165" s="4" t="n">
        <v>2026</v>
      </c>
      <c r="I165" s="4" t="inlineStr">
        <is>
          <t>Orangeburg</t>
        </is>
      </c>
      <c r="J165" s="4" t="inlineStr">
        <is>
          <t>Orangeburg, Bamberg, Barnwell</t>
        </is>
      </c>
      <c r="K165" s="4" t="inlineStr">
        <is>
          <t>Midlands</t>
        </is>
      </c>
      <c r="L165" s="4" t="n">
        <v>2</v>
      </c>
      <c r="M165" s="7" t="n">
        <v>16.8</v>
      </c>
      <c r="N165" s="8" t="n">
        <v>47912</v>
      </c>
      <c r="O165" s="4" t="inlineStr">
        <is>
          <t>Veteran</t>
        </is>
      </c>
      <c r="P165" s="4" t="inlineStr">
        <is>
          <t>Rural</t>
        </is>
      </c>
      <c r="Q165" s="8" t="n">
        <v>105000</v>
      </c>
      <c r="R165" s="4" t="n">
        <v>2</v>
      </c>
      <c r="S165" s="4">
        <f>IF(ISNUMBER(M165), M165&lt;10, FALSE)</f>
        <v/>
      </c>
      <c r="T165" s="4">
        <f>IF(AND(F165="R", S165=TRUE), "High-D-Recruit", IF(O165="Open", "Open-Seat", IF(S165=TRUE, "Monitor", "Low")))</f>
        <v/>
      </c>
      <c r="U165" s="4">
        <f>IF(F165="R", TRUE, FALSE)</f>
        <v/>
      </c>
      <c r="V165" s="4">
        <f>IF(R165&gt;=7, "High", IF(R165&gt;=4, "Medium", "Low"))</f>
        <v/>
      </c>
    </row>
    <row r="166">
      <c r="A166" s="4" t="inlineStr">
        <is>
          <t>SC-Senate-041</t>
        </is>
      </c>
      <c r="B166" s="4" t="inlineStr">
        <is>
          <t>Senate District 41</t>
        </is>
      </c>
      <c r="C166" s="4" t="inlineStr">
        <is>
          <t>Senate</t>
        </is>
      </c>
      <c r="D166" s="4" t="n">
        <v>41</v>
      </c>
      <c r="E166" s="4" t="inlineStr">
        <is>
          <t>Matthew W. "Matt" Leber</t>
        </is>
      </c>
      <c r="F166" s="4" t="inlineStr">
        <is>
          <t>R</t>
        </is>
      </c>
      <c r="G166" s="4" t="n">
        <v>2006</v>
      </c>
      <c r="H166" s="4" t="n">
        <v>2028</v>
      </c>
      <c r="I166" s="4" t="inlineStr">
        <is>
          <t>Charleston</t>
        </is>
      </c>
      <c r="J166" s="4" t="inlineStr">
        <is>
          <t>Charleston</t>
        </is>
      </c>
      <c r="K166" s="4" t="inlineStr">
        <is>
          <t>Lowcountry</t>
        </is>
      </c>
      <c r="L166" s="4" t="n">
        <v>5</v>
      </c>
      <c r="M166" s="7" t="n">
        <v>0.9</v>
      </c>
      <c r="N166" s="8" t="n">
        <v>39585</v>
      </c>
      <c r="O166" s="4" t="inlineStr">
        <is>
          <t>Long-serving</t>
        </is>
      </c>
      <c r="P166" s="4" t="inlineStr">
        <is>
          <t>Urban</t>
        </is>
      </c>
      <c r="Q166" s="8" t="n">
        <v>105000</v>
      </c>
      <c r="R166" s="4" t="n">
        <v>5</v>
      </c>
      <c r="S166" s="4">
        <f>IF(ISNUMBER(M166), M166&lt;10, FALSE)</f>
        <v/>
      </c>
      <c r="T166" s="4">
        <f>IF(AND(F166="R", S166=TRUE), "High-D-Recruit", IF(O166="Open", "Open-Seat", IF(S166=TRUE, "Monitor", "Low")))</f>
        <v/>
      </c>
      <c r="U166" s="4">
        <f>IF(F166="R", TRUE, FALSE)</f>
        <v/>
      </c>
      <c r="V166" s="4">
        <f>IF(R166&gt;=7, "High", IF(R166&gt;=4, "Medium", "Low"))</f>
        <v/>
      </c>
    </row>
    <row r="167">
      <c r="A167" s="4" t="inlineStr">
        <is>
          <t>SC-Senate-042</t>
        </is>
      </c>
      <c r="B167" s="4" t="inlineStr">
        <is>
          <t>Senate District 42</t>
        </is>
      </c>
      <c r="C167" s="4" t="inlineStr">
        <is>
          <t>Senate</t>
        </is>
      </c>
      <c r="D167" s="4" t="n">
        <v>42</v>
      </c>
      <c r="E167" s="4" t="inlineStr">
        <is>
          <t>Deon T. Tedder</t>
        </is>
      </c>
      <c r="F167" s="4" t="inlineStr">
        <is>
          <t>D</t>
        </is>
      </c>
      <c r="G167" s="4" t="n">
        <v>2006</v>
      </c>
      <c r="H167" s="4" t="n">
        <v>2026</v>
      </c>
      <c r="I167" s="4" t="inlineStr">
        <is>
          <t>Charleston</t>
        </is>
      </c>
      <c r="J167" s="4" t="inlineStr">
        <is>
          <t>Charleston</t>
        </is>
      </c>
      <c r="K167" s="4" t="inlineStr">
        <is>
          <t>Lowcountry</t>
        </is>
      </c>
      <c r="L167" s="4" t="n">
        <v>5</v>
      </c>
      <c r="M167" s="4" t="inlineStr">
        <is>
          <t>Unopposed</t>
        </is>
      </c>
      <c r="N167" s="8" t="n">
        <v>40819</v>
      </c>
      <c r="O167" s="4" t="inlineStr">
        <is>
          <t>Long-serving</t>
        </is>
      </c>
      <c r="P167" s="4" t="inlineStr">
        <is>
          <t>Urban</t>
        </is>
      </c>
      <c r="Q167" s="8" t="n">
        <v>105000</v>
      </c>
      <c r="R167" s="4" t="n">
        <v>0</v>
      </c>
      <c r="S167" s="4">
        <f>IF(ISNUMBER(M167), M167&lt;10, FALSE)</f>
        <v/>
      </c>
      <c r="T167" s="4">
        <f>IF(AND(F167="R", S167=TRUE), "High-D-Recruit", IF(O167="Open", "Open-Seat", IF(S167=TRUE, "Monitor", "Low")))</f>
        <v/>
      </c>
      <c r="U167" s="4">
        <f>IF(F167="R", TRUE, FALSE)</f>
        <v/>
      </c>
      <c r="V167" s="4">
        <f>IF(R167&gt;=7, "High", IF(R167&gt;=4, "Medium", "Low"))</f>
        <v/>
      </c>
    </row>
    <row r="168">
      <c r="A168" s="4" t="inlineStr">
        <is>
          <t>SC-Senate-043</t>
        </is>
      </c>
      <c r="B168" s="4" t="inlineStr">
        <is>
          <t>Senate District 43</t>
        </is>
      </c>
      <c r="C168" s="4" t="inlineStr">
        <is>
          <t>Senate</t>
        </is>
      </c>
      <c r="D168" s="4" t="n">
        <v>43</v>
      </c>
      <c r="E168" s="4" t="inlineStr">
        <is>
          <t>George E. "Chip" Campsen III</t>
        </is>
      </c>
      <c r="F168" s="4" t="inlineStr">
        <is>
          <t>R</t>
        </is>
      </c>
      <c r="G168" s="4" t="n">
        <v>2020</v>
      </c>
      <c r="H168" s="4" t="n">
        <v>2028</v>
      </c>
      <c r="I168" s="4" t="inlineStr">
        <is>
          <t>Charleston</t>
        </is>
      </c>
      <c r="J168" s="4" t="inlineStr">
        <is>
          <t>Charleston</t>
        </is>
      </c>
      <c r="K168" s="4" t="inlineStr">
        <is>
          <t>Lowcountry</t>
        </is>
      </c>
      <c r="L168" s="4" t="n">
        <v>1</v>
      </c>
      <c r="M168" s="7" t="n">
        <v>9.6</v>
      </c>
      <c r="N168" s="8" t="n">
        <v>54681</v>
      </c>
      <c r="O168" s="4" t="inlineStr">
        <is>
          <t>First-term</t>
        </is>
      </c>
      <c r="P168" s="4" t="inlineStr">
        <is>
          <t>Suburban</t>
        </is>
      </c>
      <c r="Q168" s="8" t="n">
        <v>105000</v>
      </c>
      <c r="R168" s="4" t="n">
        <v>6</v>
      </c>
      <c r="S168" s="4">
        <f>IF(ISNUMBER(M168), M168&lt;10, FALSE)</f>
        <v/>
      </c>
      <c r="T168" s="4">
        <f>IF(AND(F168="R", S168=TRUE), "High-D-Recruit", IF(O168="Open", "Open-Seat", IF(S168=TRUE, "Monitor", "Low")))</f>
        <v/>
      </c>
      <c r="U168" s="4">
        <f>IF(F168="R", TRUE, FALSE)</f>
        <v/>
      </c>
      <c r="V168" s="4">
        <f>IF(R168&gt;=7, "High", IF(R168&gt;=4, "Medium", "Low"))</f>
        <v/>
      </c>
    </row>
    <row r="169">
      <c r="A169" s="4" t="inlineStr">
        <is>
          <t>SC-Senate-044</t>
        </is>
      </c>
      <c r="B169" s="4" t="inlineStr">
        <is>
          <t>Senate District 44</t>
        </is>
      </c>
      <c r="C169" s="4" t="inlineStr">
        <is>
          <t>Senate</t>
        </is>
      </c>
      <c r="D169" s="4" t="n">
        <v>44</v>
      </c>
      <c r="E169" s="4" t="inlineStr">
        <is>
          <t>Brian Adams</t>
        </is>
      </c>
      <c r="F169" s="4" t="inlineStr">
        <is>
          <t>R</t>
        </is>
      </c>
      <c r="G169" s="4" t="n">
        <v>2016</v>
      </c>
      <c r="H169" s="4" t="n">
        <v>2026</v>
      </c>
      <c r="I169" s="4" t="inlineStr">
        <is>
          <t>Charleston</t>
        </is>
      </c>
      <c r="J169" s="4" t="inlineStr">
        <is>
          <t>Charleston, Dorchester</t>
        </is>
      </c>
      <c r="K169" s="4" t="inlineStr">
        <is>
          <t>Lowcountry</t>
        </is>
      </c>
      <c r="L169" s="4" t="n">
        <v>2</v>
      </c>
      <c r="M169" s="7" t="n">
        <v>8</v>
      </c>
      <c r="N169" s="8" t="n">
        <v>61764</v>
      </c>
      <c r="O169" s="4" t="inlineStr">
        <is>
          <t>Veteran</t>
        </is>
      </c>
      <c r="P169" s="4" t="inlineStr">
        <is>
          <t>Suburban</t>
        </is>
      </c>
      <c r="Q169" s="8" t="n">
        <v>105000</v>
      </c>
      <c r="R169" s="4" t="n">
        <v>5</v>
      </c>
      <c r="S169" s="4">
        <f>IF(ISNUMBER(M169), M169&lt;10, FALSE)</f>
        <v/>
      </c>
      <c r="T169" s="4">
        <f>IF(AND(F169="R", S169=TRUE), "High-D-Recruit", IF(O169="Open", "Open-Seat", IF(S169=TRUE, "Monitor", "Low")))</f>
        <v/>
      </c>
      <c r="U169" s="4">
        <f>IF(F169="R", TRUE, FALSE)</f>
        <v/>
      </c>
      <c r="V169" s="4">
        <f>IF(R169&gt;=7, "High", IF(R169&gt;=4, "Medium", "Low"))</f>
        <v/>
      </c>
    </row>
    <row r="170">
      <c r="A170" s="4" t="inlineStr">
        <is>
          <t>SC-Senate-045</t>
        </is>
      </c>
      <c r="B170" s="4" t="inlineStr">
        <is>
          <t>Senate District 45</t>
        </is>
      </c>
      <c r="C170" s="4" t="inlineStr">
        <is>
          <t>Senate</t>
        </is>
      </c>
      <c r="D170" s="4" t="n">
        <v>45</v>
      </c>
      <c r="E170" s="4" t="inlineStr">
        <is>
          <t>Margie Bright Matthews</t>
        </is>
      </c>
      <c r="F170" s="4" t="inlineStr">
        <is>
          <t>D</t>
        </is>
      </c>
      <c r="G170" s="4" t="n">
        <v>2024</v>
      </c>
      <c r="H170" s="4" t="n">
        <v>2028</v>
      </c>
      <c r="I170" s="4" t="inlineStr">
        <is>
          <t>Colleton</t>
        </is>
      </c>
      <c r="J170" s="4" t="inlineStr">
        <is>
          <t>Colleton, Hampton, Jasper, Beaufort</t>
        </is>
      </c>
      <c r="K170" s="4" t="inlineStr">
        <is>
          <t>Lowcountry</t>
        </is>
      </c>
      <c r="L170" s="4" t="n">
        <v>0</v>
      </c>
      <c r="M170" s="7" t="n">
        <v>8.300000000000001</v>
      </c>
      <c r="N170" s="8" t="n">
        <v>47572</v>
      </c>
      <c r="O170" s="4" t="inlineStr">
        <is>
          <t>First-term</t>
        </is>
      </c>
      <c r="P170" s="4" t="inlineStr">
        <is>
          <t>Rural</t>
        </is>
      </c>
      <c r="Q170" s="8" t="n">
        <v>105000</v>
      </c>
      <c r="R170" s="4" t="n">
        <v>4</v>
      </c>
      <c r="S170" s="4">
        <f>IF(ISNUMBER(M170), M170&lt;10, FALSE)</f>
        <v/>
      </c>
      <c r="T170" s="4">
        <f>IF(AND(F170="R", S170=TRUE), "High-D-Recruit", IF(O170="Open", "Open-Seat", IF(S170=TRUE, "Monitor", "Low")))</f>
        <v/>
      </c>
      <c r="U170" s="4">
        <f>IF(F170="R", TRUE, FALSE)</f>
        <v/>
      </c>
      <c r="V170" s="4">
        <f>IF(R170&gt;=7, "High", IF(R170&gt;=4, "Medium", "Low"))</f>
        <v/>
      </c>
    </row>
    <row r="171">
      <c r="A171" s="4" t="inlineStr">
        <is>
          <t>SC-Senate-046</t>
        </is>
      </c>
      <c r="B171" s="4" t="inlineStr">
        <is>
          <t>Senate District 46</t>
        </is>
      </c>
      <c r="C171" s="4" t="inlineStr">
        <is>
          <t>Senate</t>
        </is>
      </c>
      <c r="D171" s="4" t="n">
        <v>46</v>
      </c>
      <c r="E171" s="4" t="inlineStr">
        <is>
          <t>Tom Davis</t>
        </is>
      </c>
      <c r="F171" s="4" t="inlineStr">
        <is>
          <t>R</t>
        </is>
      </c>
      <c r="G171" s="4" t="n">
        <v>2024</v>
      </c>
      <c r="H171" s="4" t="n">
        <v>2026</v>
      </c>
      <c r="I171" s="4" t="inlineStr">
        <is>
          <t>Beaufort</t>
        </is>
      </c>
      <c r="J171" s="4" t="inlineStr">
        <is>
          <t>Beaufort</t>
        </is>
      </c>
      <c r="K171" s="4" t="inlineStr">
        <is>
          <t>Lowcountry</t>
        </is>
      </c>
      <c r="L171" s="4" t="n">
        <v>0</v>
      </c>
      <c r="M171" s="7" t="n">
        <v>1.2</v>
      </c>
      <c r="N171" s="8" t="n">
        <v>59847</v>
      </c>
      <c r="O171" s="4" t="inlineStr">
        <is>
          <t>First-term</t>
        </is>
      </c>
      <c r="P171" s="4" t="inlineStr">
        <is>
          <t>Suburban</t>
        </is>
      </c>
      <c r="Q171" s="8" t="n">
        <v>105000</v>
      </c>
      <c r="R171" s="4" t="n">
        <v>7</v>
      </c>
      <c r="S171" s="4">
        <f>IF(ISNUMBER(M171), M171&lt;10, FALSE)</f>
        <v/>
      </c>
      <c r="T171" s="4">
        <f>IF(AND(F171="R", S171=TRUE), "High-D-Recruit", IF(O171="Open", "Open-Seat", IF(S171=TRUE, "Monitor", "Low")))</f>
        <v/>
      </c>
      <c r="U171" s="4">
        <f>IF(F171="R", TRUE, FALSE)</f>
        <v/>
      </c>
      <c r="V171" s="4">
        <f>IF(R171&gt;=7, "High", IF(R171&gt;=4, "Medium", "Low"))</f>
        <v/>
      </c>
    </row>
  </sheetData>
  <autoFilter ref="A1:V171"/>
  <conditionalFormatting sqref="F2:F171">
    <cfRule type="expression" priority="1" dxfId="0">
      <formula>$F2="D"</formula>
    </cfRule>
    <cfRule type="expression" priority="2" dxfId="1">
      <formula>$F2="R"</formula>
    </cfRule>
  </conditionalFormatting>
  <conditionalFormatting sqref="R2:R171">
    <cfRule type="colorScale" priority="3">
      <colorScale>
        <cfvo type="num" val="0"/>
        <cfvo type="num" val="5"/>
        <cfvo type="num" val="10"/>
        <color rgb="00CCFFCC"/>
        <color rgb="00FFFFCC"/>
        <color rgb="00FFCCCC"/>
      </colorScale>
    </cfRule>
  </conditionalFormatting>
  <conditionalFormatting sqref="O2:O171">
    <cfRule type="expression" priority="4" dxfId="2">
      <formula>$O2="Open"</formula>
    </cfRule>
    <cfRule type="expression" priority="5" dxfId="3">
      <formula>$O2="First-term"</formula>
    </cfRule>
  </conditionalFormatting>
  <conditionalFormatting sqref="T2:T171">
    <cfRule type="expression" priority="6" dxfId="2">
      <formula>$T2="High-D-Recruit"</formula>
    </cfRule>
    <cfRule type="expression" priority="7" dxfId="3">
      <formula>$T2="Open-Seat"</formula>
    </cfRule>
  </conditionalFormatting>
  <conditionalFormatting sqref="M2:M171">
    <cfRule type="expression" priority="8" dxfId="4">
      <formula>AND(ISNUMBER($M2), $M2&lt;5)</formula>
    </cfRule>
    <cfRule type="expression" priority="9" dxfId="5">
      <formula>AND(ISNUMBER($M2), $M2&lt;10)</formula>
    </cfRule>
  </conditionalFormatting>
  <dataValidations count="4">
    <dataValidation sqref="F2:F171" showDropDown="0" showInputMessage="0" showErrorMessage="0" allowBlank="1" errorTitle="Invalid Party" error="Please select D, R, I, or O" type="list">
      <formula1>Lists!$A$2:$A$5</formula1>
    </dataValidation>
    <dataValidation sqref="K2:K171" showDropDown="0" showInputMessage="0" showErrorMessage="0" allowBlank="0" type="list">
      <formula1>Lists!$C$2:$C$5</formula1>
    </dataValidation>
    <dataValidation sqref="O2:O171" showDropDown="0" showInputMessage="0" showErrorMessage="0" allowBlank="0" type="list">
      <formula1>Lists!$G$2:$G$5</formula1>
    </dataValidation>
    <dataValidation sqref="P2:P171" showDropDown="0" showInputMessage="0" showErrorMessage="0" allowBlank="0" type="list">
      <formula1>Lists!$H$2:$H$5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6666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9" t="inlineStr">
        <is>
          <t>Parties</t>
        </is>
      </c>
      <c r="B1" s="9" t="inlineStr">
        <is>
          <t>Confidence</t>
        </is>
      </c>
      <c r="C1" s="9" t="inlineStr">
        <is>
          <t>Regions</t>
        </is>
      </c>
      <c r="D1" s="9" t="inlineStr">
        <is>
          <t>Priorities</t>
        </is>
      </c>
      <c r="E1" s="9" t="inlineStr">
        <is>
          <t>Statuses</t>
        </is>
      </c>
      <c r="F1" s="9" t="inlineStr">
        <is>
          <t>Chambers</t>
        </is>
      </c>
      <c r="G1" s="9" t="inlineStr">
        <is>
          <t>TermStatus</t>
        </is>
      </c>
      <c r="H1" s="9" t="inlineStr">
        <is>
          <t>DistrictType</t>
        </is>
      </c>
    </row>
    <row r="2">
      <c r="A2" t="inlineStr">
        <is>
          <t>D</t>
        </is>
      </c>
      <c r="B2" t="inlineStr">
        <is>
          <t>HIGH</t>
        </is>
      </c>
      <c r="C2" t="inlineStr">
        <is>
          <t>Upstate</t>
        </is>
      </c>
      <c r="D2" t="inlineStr">
        <is>
          <t>High-D-Recruit</t>
        </is>
      </c>
      <c r="E2" t="inlineStr">
        <is>
          <t>Pending</t>
        </is>
      </c>
      <c r="F2" t="inlineStr">
        <is>
          <t>House</t>
        </is>
      </c>
      <c r="G2" t="inlineStr">
        <is>
          <t>Open</t>
        </is>
      </c>
      <c r="H2" t="inlineStr">
        <is>
          <t>Urban</t>
        </is>
      </c>
    </row>
    <row r="3">
      <c r="A3" t="inlineStr">
        <is>
          <t>R</t>
        </is>
      </c>
      <c r="B3" t="inlineStr">
        <is>
          <t>MEDIUM</t>
        </is>
      </c>
      <c r="C3" t="inlineStr">
        <is>
          <t>Midlands</t>
        </is>
      </c>
      <c r="D3" t="inlineStr">
        <is>
          <t>Open-Seat</t>
        </is>
      </c>
      <c r="E3" t="inlineStr">
        <is>
          <t>In-Progress</t>
        </is>
      </c>
      <c r="F3" t="inlineStr">
        <is>
          <t>Senate</t>
        </is>
      </c>
      <c r="G3" t="inlineStr">
        <is>
          <t>First-term</t>
        </is>
      </c>
      <c r="H3" t="inlineStr">
        <is>
          <t>Suburban</t>
        </is>
      </c>
    </row>
    <row r="4">
      <c r="A4" t="inlineStr">
        <is>
          <t>I</t>
        </is>
      </c>
      <c r="B4" t="inlineStr">
        <is>
          <t>LOW</t>
        </is>
      </c>
      <c r="C4" t="inlineStr">
        <is>
          <t>Lowcountry</t>
        </is>
      </c>
      <c r="D4" t="inlineStr">
        <is>
          <t>Monitor</t>
        </is>
      </c>
      <c r="E4" t="inlineStr">
        <is>
          <t>Resolved</t>
        </is>
      </c>
      <c r="G4" t="inlineStr">
        <is>
          <t>Veteran</t>
        </is>
      </c>
      <c r="H4" t="inlineStr">
        <is>
          <t>Rural</t>
        </is>
      </c>
    </row>
    <row r="5">
      <c r="A5" t="inlineStr">
        <is>
          <t>O</t>
        </is>
      </c>
      <c r="B5" t="inlineStr">
        <is>
          <t>UNKNOWN</t>
        </is>
      </c>
      <c r="C5" t="inlineStr">
        <is>
          <t>Pee Dee</t>
        </is>
      </c>
      <c r="D5" t="inlineStr">
        <is>
          <t>Low</t>
        </is>
      </c>
      <c r="G5" t="inlineStr">
        <is>
          <t>Long-serving</t>
        </is>
      </c>
      <c r="H5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2026-01-22T04:41:44Z</dcterms:created>
  <dcterms:modified xsi:type="dcterms:W3CDTF">2026-01-22T04:41:44Z</dcterms:modified>
</cp:coreProperties>
</file>